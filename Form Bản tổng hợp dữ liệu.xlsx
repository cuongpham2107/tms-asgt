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2021\1. THANH TOAN VA THONG KE\1. THONG KE\2026\Dateline\"/>
    </mc:Choice>
  </mc:AlternateContent>
  <bookViews>
    <workbookView xWindow="-105" yWindow="-105" windowWidth="19425" windowHeight="10425" firstSheet="4" activeTab="4"/>
  </bookViews>
  <sheets>
    <sheet name="nháp" sheetId="6" state="hidden" r:id="rId1"/>
    <sheet name="Bảng tổng hợp chuyến phục vụ" sheetId="11" state="hidden" r:id="rId2"/>
    <sheet name="Bảng dữ liệu hàng ngoài" sheetId="7" state="hidden" r:id="rId3"/>
    <sheet name="DATA location HHHK" sheetId="8" state="hidden" r:id="rId4"/>
    <sheet name="Data locationHàng ngoài" sheetId="9" r:id="rId5"/>
    <sheet name="Khách hàng" sheetId="12" r:id="rId6"/>
  </sheets>
  <definedNames>
    <definedName name="_xlnm._FilterDatabase" localSheetId="4" hidden="1">'Data locationHàng ngoài'!$A$1:$H$209</definedName>
    <definedName name="_xlnm._FilterDatabase" localSheetId="5" hidden="1">'Khách hàng'!$B$1:$C$1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 i="8" l="1"/>
  <c r="F4" i="8"/>
  <c r="F5" i="8"/>
  <c r="F6" i="8"/>
  <c r="F7" i="8"/>
  <c r="F8" i="8"/>
  <c r="F9" i="8"/>
  <c r="F10" i="8"/>
  <c r="F11" i="8"/>
  <c r="F12" i="8"/>
  <c r="F13" i="8"/>
  <c r="F14" i="8"/>
  <c r="F15" i="8"/>
  <c r="F16" i="8"/>
  <c r="F17" i="8"/>
  <c r="F18" i="8"/>
  <c r="F19" i="8"/>
  <c r="F20" i="8"/>
  <c r="F21" i="8"/>
  <c r="F22" i="8"/>
  <c r="F23" i="8"/>
  <c r="F24" i="8"/>
  <c r="F25" i="8"/>
  <c r="F26" i="8"/>
  <c r="F27" i="8"/>
  <c r="F28" i="8"/>
  <c r="F29" i="8"/>
  <c r="F30" i="8"/>
  <c r="F2" i="8"/>
  <c r="AH20" i="11" l="1"/>
  <c r="AF20" i="11"/>
  <c r="AG20" i="11"/>
  <c r="AE20" i="11"/>
  <c r="AE13" i="11"/>
  <c r="AF13" i="11"/>
  <c r="AG13" i="11"/>
  <c r="AH13" i="11"/>
  <c r="AE14" i="11"/>
  <c r="AF14" i="11"/>
  <c r="AG14" i="11"/>
  <c r="AH14" i="11"/>
  <c r="AE18" i="11"/>
  <c r="AF18" i="11"/>
  <c r="AG18" i="11"/>
  <c r="AH18" i="11"/>
  <c r="AE19" i="11"/>
  <c r="AF19" i="11"/>
  <c r="AG19" i="11"/>
  <c r="AH19" i="11"/>
  <c r="Z19" i="11"/>
  <c r="Z20" i="11"/>
  <c r="AI20" i="11"/>
  <c r="AL20" i="11"/>
  <c r="AM20" i="11"/>
  <c r="AN20" i="11"/>
  <c r="AA20" i="11"/>
  <c r="AB20" i="11"/>
  <c r="AC20" i="11"/>
  <c r="AI19" i="11"/>
  <c r="AL19" i="11"/>
  <c r="AM19" i="11"/>
  <c r="AN19" i="11"/>
  <c r="AB19" i="11"/>
  <c r="AC19" i="11"/>
  <c r="AA19" i="11"/>
  <c r="AI18" i="11"/>
  <c r="AI14" i="11"/>
  <c r="AI13" i="11"/>
  <c r="AN18" i="11"/>
  <c r="AM18" i="11"/>
  <c r="AL18" i="11"/>
  <c r="AC18" i="11"/>
  <c r="AB18" i="11"/>
  <c r="AA18" i="11"/>
  <c r="Z18" i="11"/>
  <c r="Z14" i="11"/>
  <c r="AA14" i="11"/>
  <c r="AB14" i="11"/>
  <c r="AC14" i="11"/>
  <c r="AL14" i="11"/>
  <c r="AM14" i="11"/>
  <c r="AN14" i="11"/>
  <c r="AN13" i="11"/>
  <c r="AM13" i="11"/>
  <c r="AL13" i="11"/>
  <c r="AA13" i="11"/>
  <c r="AB13" i="11"/>
  <c r="AC13" i="11"/>
  <c r="Z13" i="11"/>
  <c r="Z6" i="11"/>
  <c r="AA6" i="11"/>
  <c r="AB6" i="11"/>
  <c r="AC6" i="11"/>
  <c r="AD6" i="11"/>
  <c r="AJ6" i="11"/>
  <c r="AK6" i="11"/>
  <c r="AL6" i="11"/>
  <c r="AM6" i="11"/>
  <c r="AN6" i="11"/>
  <c r="Z7" i="11"/>
  <c r="AA7" i="11"/>
  <c r="AB7" i="11"/>
  <c r="AC7" i="11"/>
  <c r="AD7" i="11"/>
  <c r="AJ7" i="11"/>
  <c r="AK7" i="11"/>
  <c r="AL7" i="11"/>
  <c r="AM7" i="11"/>
  <c r="AN7" i="11"/>
  <c r="Z8" i="11"/>
  <c r="AA8" i="11"/>
  <c r="AB8" i="11"/>
  <c r="AC8" i="11"/>
  <c r="AD8" i="11"/>
  <c r="AJ8" i="11"/>
  <c r="AK8" i="11"/>
  <c r="AL8" i="11"/>
  <c r="AM8" i="11"/>
  <c r="AN8" i="11"/>
  <c r="Z9" i="11"/>
  <c r="AA9" i="11"/>
  <c r="AB9" i="11"/>
  <c r="AC9" i="11"/>
  <c r="AD9" i="11"/>
  <c r="AJ9" i="11"/>
  <c r="AK9" i="11"/>
  <c r="AL9" i="11"/>
  <c r="AM9" i="11"/>
  <c r="AN9" i="11"/>
  <c r="AK5" i="11"/>
  <c r="AL5" i="11"/>
  <c r="AM5" i="11"/>
  <c r="AN5" i="11"/>
  <c r="AJ5" i="11"/>
  <c r="AD5" i="11"/>
  <c r="AC5" i="11"/>
  <c r="AB5" i="11"/>
  <c r="AA5" i="11"/>
  <c r="Z5" i="11"/>
  <c r="V17" i="6" l="1"/>
  <c r="V16" i="6"/>
  <c r="V21" i="6"/>
  <c r="V22" i="6"/>
  <c r="V23" i="6"/>
  <c r="V24" i="6"/>
  <c r="V25" i="6"/>
  <c r="V26" i="6"/>
</calcChain>
</file>

<file path=xl/sharedStrings.xml><?xml version="1.0" encoding="utf-8"?>
<sst xmlns="http://schemas.openxmlformats.org/spreadsheetml/2006/main" count="2181" uniqueCount="873">
  <si>
    <t>Ghi chú</t>
  </si>
  <si>
    <t>Thời gian đóng hàng</t>
  </si>
  <si>
    <t>Khách hàng</t>
  </si>
  <si>
    <t>Họ tên lái xe</t>
  </si>
  <si>
    <t>ASGL</t>
  </si>
  <si>
    <t>Hành trình</t>
  </si>
  <si>
    <t>ALSB</t>
  </si>
  <si>
    <t>BSX</t>
  </si>
  <si>
    <t>Trọng tải tính cước</t>
  </si>
  <si>
    <t>Điểm đóng hàng</t>
  </si>
  <si>
    <t>Điểm trả hàng</t>
  </si>
  <si>
    <t>Thời gian xe chạy</t>
  </si>
  <si>
    <t>Thời gian hạ hàng</t>
  </si>
  <si>
    <t>Tên khách hàng</t>
  </si>
  <si>
    <t>Hình ảnh chứng từ</t>
  </si>
  <si>
    <t>Ngày phát sinh</t>
  </si>
  <si>
    <t>Số Pallet</t>
  </si>
  <si>
    <t>99H01503</t>
  </si>
  <si>
    <t>Công ty TNHH Fulian Technology ( Hồng Hải - Quang Châu), KCN Quang Châu, Phường Nếnh, Bắc Ninh</t>
  </si>
  <si>
    <t>ASGS, Yên Phong, Bắc Ninh</t>
  </si>
  <si>
    <t>16 Palllet</t>
  </si>
  <si>
    <t>29E12452</t>
  </si>
  <si>
    <t>6 Palllet</t>
  </si>
  <si>
    <t>Thời gian yêu cầu</t>
  </si>
  <si>
    <t>Thời gian đến</t>
  </si>
  <si>
    <t>SAFO</t>
  </si>
  <si>
    <t>99H00902</t>
  </si>
  <si>
    <t>KCN Vân Trung, Bắc Ninh</t>
  </si>
  <si>
    <t>ALSC</t>
  </si>
  <si>
    <t>20C04937</t>
  </si>
  <si>
    <t>KCN Quang Châu, Bắc Ninh</t>
  </si>
  <si>
    <t>ACSV/NCTS Nội Bài, Hà Nội</t>
  </si>
  <si>
    <t>ALSC Nội Bài, Hà Nội</t>
  </si>
  <si>
    <t>ALSE KCN VSIP, Bắc Ninh</t>
  </si>
  <si>
    <t>ALSW Nội Bài, Hà Nội</t>
  </si>
  <si>
    <t>ASG Nội Bài, Hà Nội</t>
  </si>
  <si>
    <t>DỮ LIỆU ĐIỂM ĐÓNG VÀ TRẢ: 1 ĐIỂM</t>
  </si>
  <si>
    <t>DỮ LIỆU ĐIỂM ĐÓNG VÀ TRẢ:  NHIỀU ĐIỂM</t>
  </si>
  <si>
    <t>Ngày</t>
  </si>
  <si>
    <t>TG xe đóng</t>
  </si>
  <si>
    <t>TG xe chạy</t>
  </si>
  <si>
    <t>TG xe đến</t>
  </si>
  <si>
    <t>TG hạ hàng</t>
  </si>
  <si>
    <t>20C04357</t>
  </si>
  <si>
    <t>ASG ALSC</t>
  </si>
  <si>
    <t>ALSC ASG</t>
  </si>
  <si>
    <t>ASG ACSV</t>
  </si>
  <si>
    <t>ACSV ASG</t>
  </si>
  <si>
    <t>NBA ALSB</t>
  </si>
  <si>
    <t>ALSB NBA</t>
  </si>
  <si>
    <t/>
  </si>
  <si>
    <t>K</t>
  </si>
  <si>
    <t>EI</t>
  </si>
  <si>
    <t>Kho đóng trả hàng</t>
  </si>
  <si>
    <t>ACSV</t>
  </si>
  <si>
    <t>Ngày hạ hàng</t>
  </si>
  <si>
    <t>km đi</t>
  </si>
  <si>
    <t>km đến</t>
  </si>
  <si>
    <t>Đặng Ngọc Lợi</t>
  </si>
  <si>
    <t>Đặng Ngọc lợi</t>
  </si>
  <si>
    <t>Tình trạng hàng</t>
  </si>
  <si>
    <t>PCS</t>
  </si>
  <si>
    <t>GW</t>
  </si>
  <si>
    <t>DỮ LIỆU HÀNG HÓA HÀNG KHÔNG</t>
  </si>
  <si>
    <t>Dữ liệu do điều hành nhập, nếu nhập sai lệch do k đúng tên địa điểm, phải hiểu chỉnh lại mất nhiều thời gian</t>
  </si>
  <si>
    <t>Dữ liệu trên hệ thống này chỉ là cơ sở dữ liệu, Còn 1 dữ liệu hoàn chỉnh đẩy đủ sẽ được tổ thanh toán up lên sau khi đã chốt dữ liệu</t>
  </si>
  <si>
    <t>Từ dữ liệu chi tiết từ HHHK và Hàng ngoài tạo thành 1 dữ liệu cơ sơ chung</t>
  </si>
  <si>
    <t>Viết tắt điển trả hàng</t>
  </si>
  <si>
    <t>Viết tắt điểm đóng hàng</t>
  </si>
  <si>
    <t>Vân Trung</t>
  </si>
  <si>
    <t>NBA</t>
  </si>
  <si>
    <t>Quang châu</t>
  </si>
  <si>
    <t>Yên Phong</t>
  </si>
  <si>
    <t>Quang châu Yên Phong</t>
  </si>
  <si>
    <t>Vân Trung NBA</t>
  </si>
  <si>
    <t>Dương Văn Bộ</t>
  </si>
  <si>
    <t>Giáp Văn Định</t>
  </si>
  <si>
    <t>Ngô Văn Quỳ</t>
  </si>
  <si>
    <t>Hoàng Trường Anh</t>
  </si>
  <si>
    <t>Dữ liệu hàng ngoài khi đưa vào dữ liệu tổng đối với hàng nhận 1 điểm và trả 1 điểm: Địa điểm đi và địa điểm đến quy thành tên viết tắt để ghép thành 1 hành trình</t>
  </si>
  <si>
    <t>Dữ liệu hàng ngoài khi đưa vào dữ liệu tổng đối với hàng nhận và trả nhiều điểm: Địa điểm đi và địa điểm đến quy thành tên viết tắt để ghép thành 1 hành trình, thời gian đóng hàng, thời gian xe chạy và thời gian đến ghi nhận thời gian đầu tiên, thời gian hạ hàng ghi nhận thời gian trả hàng tại điểm cuối cùng.
Km lấy Km đi và Km đến là Km ở điểm cuối</t>
  </si>
  <si>
    <t>Tên viết tắt hàng ngoài quy đinh viết tắt theo Xã, KCN</t>
  </si>
  <si>
    <t>DỮ LIỆU TỔNG HỢP TẤT CẢ CÁC LOẠI HÌNH Ở TRÊN</t>
  </si>
  <si>
    <t>Tên công ty chi tiết</t>
  </si>
  <si>
    <t>STT</t>
  </si>
  <si>
    <t>Khu vực</t>
  </si>
  <si>
    <t>NCTS</t>
  </si>
  <si>
    <t>DHL</t>
  </si>
  <si>
    <t>Tỉnh lẻ</t>
  </si>
  <si>
    <t>BN</t>
  </si>
  <si>
    <t>TN</t>
  </si>
  <si>
    <t>Xã/phường</t>
  </si>
  <si>
    <t>Tỉnh</t>
  </si>
  <si>
    <t>ASG</t>
  </si>
  <si>
    <t>ALSW</t>
  </si>
  <si>
    <t>SEV</t>
  </si>
  <si>
    <t>SDV</t>
  </si>
  <si>
    <t>ALSE</t>
  </si>
  <si>
    <t>ASGS</t>
  </si>
  <si>
    <t>CLC</t>
  </si>
  <si>
    <t>SEMV</t>
  </si>
  <si>
    <t>SEVT</t>
  </si>
  <si>
    <t>DAINESE</t>
  </si>
  <si>
    <t>ĐIỀM THỤY</t>
  </si>
  <si>
    <t>SÔNG CÔNG</t>
  </si>
  <si>
    <t>SHINSUNG</t>
  </si>
  <si>
    <t>JUWKANG</t>
  </si>
  <si>
    <t>Quế Võ</t>
  </si>
  <si>
    <t>CN13-CN18 KCN Yên Bình, Phổ Yên, Thái Nguyên</t>
  </si>
  <si>
    <t>CÔNG TY TNHH JUKWANG PRECISION VIỆT NAM</t>
  </si>
  <si>
    <t>Khu công nghiệp Yên Bình, Vạn Xuân, Thái Nguyên</t>
  </si>
  <si>
    <t>KCN Điềm Thụy,  Điềm Thụy, Thái Nguyên</t>
  </si>
  <si>
    <t>KCN Sông Công I, đường Cách Mạng Tháng 10, Bách Quang, Thái Nguyên</t>
  </si>
  <si>
    <t>Cảng hàng không Quốc tế Nội Bài, Nội Bài, Hà Nội</t>
  </si>
  <si>
    <t>CÔNG TY CỔ PHẦN DỊCH VỤ HÀNG HÓA HÀNG KHÔNG VIỆT NAM</t>
  </si>
  <si>
    <t>CÔNG TY CỔ PHẦN NHÀ GA HÀNG HÓA ALS</t>
  </si>
  <si>
    <t>CÔNG TY CỔ PHẦN GIAO NHẬN TOÀN CẦU DHL (VIỆT NAM)</t>
  </si>
  <si>
    <t>CÔNG TY CỔ PHẦN TẬP ĐOÀN ASG</t>
  </si>
  <si>
    <t>Địa chỉ</t>
  </si>
  <si>
    <t>KCN Quế Võ 1, Phường Vân Dương, Bắc Ninh</t>
  </si>
  <si>
    <r>
      <t>khu công nghiệp VSIP Bắc Ninh</t>
    </r>
    <r>
      <rPr>
        <sz val="11"/>
        <color rgb="FF474747"/>
        <rFont val="Times New Roman"/>
        <family val="1"/>
      </rPr>
      <t> , Phù Chẩn, Từ Sơn, Bắc Ninh</t>
    </r>
  </si>
  <si>
    <t>KCN Quế Võ 1, Bắc Ninh</t>
  </si>
  <si>
    <t>Cụm công nghiệp Tân Dân, Phường Lê Đại Hành, Thành Phố Hải Phòng</t>
  </si>
  <si>
    <t>KCN Đồng Văn IV, Phường Lê Hồ, Tỉnh Ninh Bình</t>
  </si>
  <si>
    <t>Lô C6-2, KCN Bá Thiện, Xã Bình Tuyền, Tỉnh Phú Thọ</t>
  </si>
  <si>
    <t>KCN Yên Phong, Bắc Ninh</t>
  </si>
  <si>
    <t>KCN Nội Bài, Xã Sóc Sơn, TP Hà Nội</t>
  </si>
  <si>
    <t>KCN Bình Xuyên, Xã Bình Nguyên, Tỉnh Phú Thọ</t>
  </si>
  <si>
    <t>KCN Trung Hà,  Xã Tam Nông, Tỉnh Phú Thọ</t>
  </si>
  <si>
    <t>Lô K6, khu công nghiệp Tràng Duệ, Phường An Phong, TP Hải Phòng</t>
  </si>
  <si>
    <t>Thôn Thượng Đồng, Xã Hiền Khánh, Ninh Bình</t>
  </si>
  <si>
    <t>Khu Công Nghiệp Tân Quang,Xã Như Quỳnh, Hưng Yên</t>
  </si>
  <si>
    <t>Lô CN-06, KCN Đồng Văn IV, Phường Lê Hồ, Tỉnh Ninh Bình</t>
  </si>
  <si>
    <t>CN-09, KCN Hòa Phú, Xã Xuân Cẩm, Tỉnh Bắc Ninh</t>
  </si>
  <si>
    <t>KCN NBA</t>
  </si>
  <si>
    <t>Từ Sơn, Bắc Ninh</t>
  </si>
  <si>
    <t>Khu công nghiệp Quế Võ 2, Phường Đào Viên, Tỉnh Bắc Ninh</t>
  </si>
  <si>
    <t>Thôn Tông Phố, Xã Trần Phú, Thành phố Hải Phòng</t>
  </si>
  <si>
    <t>KCN Đồng Văn , Duy Tiên, Tỉnh Ninh Bình</t>
  </si>
  <si>
    <t>KCN Thăng Long II, Mỹ Hào, Hưng Yên</t>
  </si>
  <si>
    <t>Cảng Đình Vũ, Hải Phòng</t>
  </si>
  <si>
    <t>KCN Điềm Thụy, Thái Nguyên</t>
  </si>
  <si>
    <t>Lô CN1, KCN Quang Châu, Phường Nếnh, Tỉnh Bắc Ninh</t>
  </si>
  <si>
    <t>Khu công nghiệp Phố Nối A, Xã Như Quỳnh, Tỉnh Hưng Yên</t>
  </si>
  <si>
    <t>CTY NHÔM ĐÔNG Á</t>
  </si>
  <si>
    <t>Cụm công nghiệp Thanh Oai, Xã Bình Minh, TP Hà Nội</t>
  </si>
  <si>
    <t>CÔNG TY TNHH DARFON VIỆT NAM</t>
  </si>
  <si>
    <t>DARFON</t>
  </si>
  <si>
    <t>CÔNG TY TNHH TPCX FUYU</t>
  </si>
  <si>
    <t>KCN Quang Châu, Phường Nếnh, Tỉnh Bắc Ninh</t>
  </si>
  <si>
    <t>FUYU</t>
  </si>
  <si>
    <t>Phường Từ Sơn, Tỉnh Bắc Ninh</t>
  </si>
  <si>
    <t>DOEW</t>
  </si>
  <si>
    <t>Khu công nghiệp Sông Khoai, Phường Hiệp Hòa, Tỉnh Quảng Ninh</t>
  </si>
  <si>
    <t>FOXCONN SÔNG KHOAI</t>
  </si>
  <si>
    <t>Kho Samsung</t>
  </si>
  <si>
    <t>Km 17, QL5A, Thôn Minh Khai, Xã Như Quỳnh, Tỉnh Hưng Yên</t>
  </si>
  <si>
    <t>CÔNG TY TNHH AMKOR TECHNOLOGY VIỆT NAM</t>
  </si>
  <si>
    <t>KCN Yên Phong II-C, Xã Yên Phong, Tỉnh Bắc Ninh</t>
  </si>
  <si>
    <t>AMKOR</t>
  </si>
  <si>
    <t>UTI VINA CO.,LTD</t>
  </si>
  <si>
    <t>Lô CN4, Khu Công nghiệp Điềm Thụy, Xã Điềm Thụy, Tỉnh Thái Nguyên</t>
  </si>
  <si>
    <t>UTI VINA</t>
  </si>
  <si>
    <t>CÔNG TY TNHH FUSHAN TECHNOLOGY VN</t>
  </si>
  <si>
    <t>Số 8, đường 6, KCN VSIP Bắc Ninh, Phường Từ Sơn, Tỉnh Bắc Ninh</t>
  </si>
  <si>
    <t>FUSHAN</t>
  </si>
  <si>
    <t>CÔNG TY TNHH SAMJINTECH VINA</t>
  </si>
  <si>
    <t>Lô CN4.5, Khu Công nghiệp Sạch, Xã Xuân Trúc, Tỉnh Hưng Yên</t>
  </si>
  <si>
    <t>SAMJINTECH</t>
  </si>
  <si>
    <t>CÔNG TY TNHH RADIAN VIỆT NAM</t>
  </si>
  <si>
    <t>Nhà máy FA3 Cụm Fuji Precision, KCN Yên Phong, Xã Yên Phong, Tỉnh Bắc Ninh</t>
  </si>
  <si>
    <t>RADIAN</t>
  </si>
  <si>
    <t>Lô CN-10, KCN Vân Trung, Phường Nếnh, Tỉnh Bắc Ninh</t>
  </si>
  <si>
    <t>JPC</t>
  </si>
  <si>
    <t>CÔNG TY TNHH SẢN XUẤT COOLER MASTER</t>
  </si>
  <si>
    <t>Lô CN-04.1, KCN Gia Bình, Xã Đông Cứu, Bắc Ninh</t>
  </si>
  <si>
    <t>COOLER</t>
  </si>
  <si>
    <t>CÔNG TY TNHH FUKANG TECHNOLOGY</t>
  </si>
  <si>
    <t>Lô I, KCN Quang Châu, Phường Nếnh và, Phường Nếnh, Tỉnh Bắc Ninh</t>
  </si>
  <si>
    <t>FUKANG</t>
  </si>
  <si>
    <t>Số 3A, 3B, lô CN02-1, KCN Yên Phong (Khu mở rộng), Xã Yên Trung, Tỉnh Bắc Ninh</t>
  </si>
  <si>
    <t>KOSTAT</t>
  </si>
  <si>
    <t>INTERPLEX PRECISION TECHNOLOGY (HANOI)</t>
  </si>
  <si>
    <t>Lô VI-1.1, Đường D3, KCN Quế Võ II, Phường Đào Viên, Tỉnh Bắc Ninh</t>
  </si>
  <si>
    <t>INTERPLEX</t>
  </si>
  <si>
    <t>SHUNSIN</t>
  </si>
  <si>
    <t>CÔNG TY TNHH TAIXIN PRINTING VINA</t>
  </si>
  <si>
    <t>Số 19, đường 11, KCN, Đô thị và Dịch vụ VSIP Bắc Ninh, Xã Đại Đồng, Tỉnh Bắc Ninh</t>
  </si>
  <si>
    <t>TAIXIN</t>
  </si>
  <si>
    <t>CÔNG TY TNHH NEFAB VIỆT NAM</t>
  </si>
  <si>
    <t>KCN Yên Phong, Xã Yên Trung, Tỉnh Bắc Ninh</t>
  </si>
  <si>
    <t>NEFAB</t>
  </si>
  <si>
    <t>SHUNSIN TECH</t>
  </si>
  <si>
    <t>Lô CNSG – 10 , KCN Vân Trung, Phường Nếnh,Tỉnh Bắc Ninh</t>
  </si>
  <si>
    <t xml:space="preserve">CÔNG TY TNNH JNS VINA </t>
  </si>
  <si>
    <t>KCN Yên Phong mở rộng, Bắc Ninh</t>
  </si>
  <si>
    <t>JNS</t>
  </si>
  <si>
    <t xml:space="preserve">SARITECH </t>
  </si>
  <si>
    <t>Khu công nghiệp yên phong 2, Bắc Ninh</t>
  </si>
  <si>
    <t>KHO NGOẠI QUAN CỦA CÔNG TY TNHH DV VÀ TM ANH MINH</t>
  </si>
  <si>
    <t>Nhà kho số 15,KCN VSIP Bắc Ninh, phường Từ Sơn, Bắc Ninh</t>
  </si>
  <si>
    <t>ANH MINH</t>
  </si>
  <si>
    <t>Bình Nguyên, Phú Thọ</t>
  </si>
  <si>
    <t>GALAXY</t>
  </si>
  <si>
    <t>CÔNG TY TRÁCH NHIỆM HỮU HẠN ALS BẮC NINH</t>
  </si>
  <si>
    <t>đường 6, Khu công nghiệp VSIP Bắc Ninh, Tỉnh Bắc Ninh</t>
  </si>
  <si>
    <t>Kho lạnh SDS</t>
  </si>
  <si>
    <t>NINH BÌNH</t>
  </si>
  <si>
    <t>BẮC NINH</t>
  </si>
  <si>
    <t>HƯNG YÊN</t>
  </si>
  <si>
    <t>QUANG CHÂU</t>
  </si>
  <si>
    <t>SÔNG KHOAI</t>
  </si>
  <si>
    <t>YÊN PHONG</t>
  </si>
  <si>
    <t>ĐỒNG VĂN</t>
  </si>
  <si>
    <t>VÂN TRUNG</t>
  </si>
  <si>
    <t>GIA BÌNH</t>
  </si>
  <si>
    <t>TỪ SƠN</t>
  </si>
  <si>
    <t>VSIP BẮC NINH</t>
  </si>
  <si>
    <t>NHƯ QUỲNH</t>
  </si>
  <si>
    <t>ĐẠI ĐỒNG</t>
  </si>
  <si>
    <t>Hưng Yên</t>
  </si>
  <si>
    <t>Bắc Ninh</t>
  </si>
  <si>
    <t>Từ Sơn</t>
  </si>
  <si>
    <t>Lô CN1, Khu Công nghiệp Quang Châu, Phường Nếnh, Tỉnh Bắc Ninh</t>
  </si>
  <si>
    <t xml:space="preserve">FUHONG PRECISION COMPONENT </t>
  </si>
  <si>
    <t>Lô P3 KCN Quang Châu Phường Nếnh, Bắc Ninh</t>
  </si>
  <si>
    <t>FULIAN</t>
  </si>
  <si>
    <t>FUHONG</t>
  </si>
  <si>
    <t>THĂNG LONG II</t>
  </si>
  <si>
    <t>AKZO</t>
  </si>
  <si>
    <t>CÔNG TY CP NHÔM T&amp;C</t>
  </si>
  <si>
    <t>T&amp;C</t>
  </si>
  <si>
    <t>NHÔM ĐÔNG Á</t>
  </si>
  <si>
    <t>ECOMAX VINA</t>
  </si>
  <si>
    <t>KCN Yên Bình, Thái Nguyên</t>
  </si>
  <si>
    <t>ECOMAX</t>
  </si>
  <si>
    <t>CÔNG TY CP SX LỌC KHÍ VIỆT MIỀN BẮC</t>
  </si>
  <si>
    <t>KCN Sông Công, Thái Nguyên</t>
  </si>
  <si>
    <t>FULIAN PRECISION TECHNOLOGY</t>
  </si>
  <si>
    <t>FUKOKU</t>
  </si>
  <si>
    <t>CẢNG ĐÌNH VŨ</t>
  </si>
  <si>
    <t>YUSEN</t>
  </si>
  <si>
    <t>LỌC KHÍ</t>
  </si>
  <si>
    <t>HẢI PHÒNG</t>
  </si>
  <si>
    <t>KDT VINA CO.,LTD</t>
  </si>
  <si>
    <t>Khu công nghiệp Yên Phong (Khu mở rộng), Xã Tam Đa, Tỉnh Bắc Ninh</t>
  </si>
  <si>
    <t>Lô CN4.5, KCN Sạch, Xã Xuân Trúc, Tỉnh Hưng Yên</t>
  </si>
  <si>
    <t>SYNCMOLD VIỆT NAM</t>
  </si>
  <si>
    <t>CÔNG TY TNHH CÔNG NGHỆ BAO BÌ YUZHAN VN</t>
  </si>
  <si>
    <t>Lô H2-01, KCN Quế Võ, Phường Phương Liễu, Tỉnh Bắc Ninh</t>
  </si>
  <si>
    <t>KCN Vân Trung, Phường Nếnh,Tỉnh Bắc Ninh</t>
  </si>
  <si>
    <t>CÔNG TY TNHH AAC TECHNOLOGIES VĨNH PHÚC</t>
  </si>
  <si>
    <t>Lô CN5, KCN Bá Thiện, Xã Bình Tuyền, Tỉnh Phú Thọ</t>
  </si>
  <si>
    <t>MEKLAND</t>
  </si>
  <si>
    <t>Lô B, KCN Quế Võ, Phường Nam Sơn, Tỉnh Bắc Ninh</t>
  </si>
  <si>
    <t>SEOJIN SYSTEM VINA</t>
  </si>
  <si>
    <t>KCN Tiên Sơn, Phường Đồng Nguyên, Tỉnh Bắc Ninh</t>
  </si>
  <si>
    <t>AVC TECNOLOGY (VIETNAM) COMPANY LIMIT</t>
  </si>
  <si>
    <t>KCN Đồng Văn III, Phường Duy Hà, Tỉnh Ninh Bình</t>
  </si>
  <si>
    <t>Tầng1/ Tầng 2, Nhà xưởng X6, X7, KCN Bình Xuyên, Xã Xuân Lãng Tỉnh Phú Thọ</t>
  </si>
  <si>
    <t>GOOD COLOR PACKAGING VIET NAM COMPNAY LTD</t>
  </si>
  <si>
    <t>Lô D8-3 KCN Bá Thiện II, XÃ Bình Xuyên, Tỉnh Phú Thọ</t>
  </si>
  <si>
    <t>Đường Trần Phú, Phường Phúc Yên, Tỉnh Phú Thọ</t>
  </si>
  <si>
    <t>JIAXIN INDUSTRIAL COMPANY LIMITED</t>
  </si>
  <si>
    <t>Lô CN7, KCN Điềm Thụy, Phường Phổ Yên, Thái Nguyên</t>
  </si>
  <si>
    <t>PAROSY JOINT STOCK COMAPANY</t>
  </si>
  <si>
    <t>Cụm CN Duyên Thái, Xã Ngọc Hồi Hà Nội</t>
  </si>
  <si>
    <t>Thôn Cổ Đà-Yên Thịnh, Yên Mô, Ninh Bình</t>
  </si>
  <si>
    <t>CTY TNHH CÔNG NGHIỆP SMART</t>
  </si>
  <si>
    <t>SIMPLO TECHNOLOGY</t>
  </si>
  <si>
    <t>KCN Hòa Phú, xã Xuân Cẩm, tỉnh Bắc Ninh</t>
  </si>
  <si>
    <t>Kho pegatron</t>
  </si>
  <si>
    <t>Khu Phi Thuế Quan và KCN Nam Đình Vũ (Khu 1) thuộc Khu Kinh Tế Đình Vũ - Cát Hải, Đông Hải, Hải Phòng</t>
  </si>
  <si>
    <t>MKL</t>
  </si>
  <si>
    <t>CÔNG TY TNHH PRECISION TECHNOLOGY COMPONENT</t>
  </si>
  <si>
    <t>CÔNG TY TNHH CÔNG NGHỆ ĐIỆN TỬ TARRY</t>
  </si>
  <si>
    <t>KCN Yên Phong (khu mở rộng), Yên Trung, Bắc Ninh</t>
  </si>
  <si>
    <t>đường số 6, KCN Vsip, Phường Từ Sơn, Bắc Ninh</t>
  </si>
  <si>
    <t>Kho ITL</t>
  </si>
  <si>
    <t>KCN VSIP, Từ Sơn, Bắc Ninh</t>
  </si>
  <si>
    <t>KDT</t>
  </si>
  <si>
    <t>SEOJIN</t>
  </si>
  <si>
    <t>AVC</t>
  </si>
  <si>
    <t>SURCHEER</t>
  </si>
  <si>
    <t>JIAXIN</t>
  </si>
  <si>
    <t>PAROSY</t>
  </si>
  <si>
    <t>SIMPLO</t>
  </si>
  <si>
    <t>YUZHAN</t>
  </si>
  <si>
    <t>TIÊN SƠN</t>
  </si>
  <si>
    <t>HÒA PHÚ</t>
  </si>
  <si>
    <t>SYNMCOLD</t>
  </si>
  <si>
    <t>QUẾ VÕ</t>
  </si>
  <si>
    <t>BÁ THIỆN</t>
  </si>
  <si>
    <t>KHO PEGATRON</t>
  </si>
  <si>
    <t>KHO ITL</t>
  </si>
  <si>
    <t>LUXSHARE</t>
  </si>
  <si>
    <t>AAC</t>
  </si>
  <si>
    <t>FUNING</t>
  </si>
  <si>
    <t>SMART</t>
  </si>
  <si>
    <t>TARRY</t>
  </si>
  <si>
    <t>ITL</t>
  </si>
  <si>
    <t>BÌNH XUYÊN</t>
  </si>
  <si>
    <t>WE SUM VĨNH PHÚC</t>
  </si>
  <si>
    <t>GOOD COLOR</t>
  </si>
  <si>
    <t>Công ty</t>
  </si>
  <si>
    <t>PHÚC YÊN</t>
  </si>
  <si>
    <t>NGỌC HỒI</t>
  </si>
  <si>
    <t>MASTER VINA</t>
  </si>
  <si>
    <t>PRECISION</t>
  </si>
  <si>
    <t>KHO CL</t>
  </si>
  <si>
    <t>HEV</t>
  </si>
  <si>
    <t>CÔNG TY TNHH HANSOL ELECTRONICS VIỆT NAM</t>
  </si>
  <si>
    <t>Lô CN8-5-1 KCN Yên Phong mở rộng, xã Yên Trung , Bắc Ninh</t>
  </si>
  <si>
    <t>CHI NHÁNH BẮC NINH CÔNG TY TNHH HI GLOBAL LOGISTICS</t>
  </si>
  <si>
    <t>Lô CN8-5-1, KCN mở rộng Yên Phong, Xã Yên Trung, Bắc Ninh</t>
  </si>
  <si>
    <t>DONGSUNG</t>
  </si>
  <si>
    <t>CÔNG TY TNHH BOYD VIỆT NAM</t>
  </si>
  <si>
    <t>Lô CN10, KCN Yên Phong ( Khu mở rộng), Xã Tam Đa, Tỉnh Bắc Ninh</t>
  </si>
  <si>
    <t>KCN Hòa Phú, Xã Xuân Cẩm, Tỉnh Bắc Ninh</t>
  </si>
  <si>
    <t>CÔNG TY TNHH COMPAL (VIỆT NAM</t>
  </si>
  <si>
    <t>KCN Bá Thiện, Xã Bình Tuyền, Phú Thọ</t>
  </si>
  <si>
    <t>CÔNG TY TNHH PHOENIX TECH VIỆT NAM</t>
  </si>
  <si>
    <t>Lô số CN-16 KCN Vân Trung, Phường Nếnh, Bắc Ninh</t>
  </si>
  <si>
    <t>Lô CN6, KCN Điềm Thụy, Xã Điềm Thụy,Thái Nguyên</t>
  </si>
  <si>
    <t>CÔNG TY TNHH SHINYANG METAL VIỆT NAM</t>
  </si>
  <si>
    <t>KCN Đại An mở rộng, Phường Tứ Minh, TP Hải Phòng</t>
  </si>
  <si>
    <t>CÔNG TY TNHH CÔNG NGHỆ SPORTSOUL HEALTH</t>
  </si>
  <si>
    <t>KCN Thuận Thành II, Phường Mão Điền, Tỉnh Bắc Ninh</t>
  </si>
  <si>
    <t xml:space="preserve">CÔNG TY TNHH EDGETEL VIỆT NAM </t>
  </si>
  <si>
    <t>Lô CN-C9+C10+C12 Cụm công nghiệp Châu Phong, Thôn Châu Cầu, Xã Phù Lãng, Bắc Ninh</t>
  </si>
  <si>
    <t>KCN Khai Quang, Phường Vĩnh Phúc, Tỉnh Phú Thọ</t>
  </si>
  <si>
    <t>Nhà xưởng số 01 (B1+B2), lô CN9-KCN Sông Công 2, Thái Nguyên</t>
  </si>
  <si>
    <t>CÔNG TY TNHH CÔNG NGHỆ THÔNG MINH CEM VIỆT NAM</t>
  </si>
  <si>
    <t>Xã An Khánh, Thái Nguyên</t>
  </si>
  <si>
    <t>KCN Quế Võ II, Phường Đào Viên, Bắc Ninh</t>
  </si>
  <si>
    <t>VSO (VIET NAM) ELECTRONICS CO., LTD</t>
  </si>
  <si>
    <t>KCN Quế Võ (Khu mở rộng), Phường Nam Sơn, Tỉnh Bắc Ninh</t>
  </si>
  <si>
    <t>GOERTEK TECHNOLOGY VINA</t>
  </si>
  <si>
    <t>Lô A1, KCN Nam Sơn – Hạp Lĩnh, Phường Nam Sơn, Phường Hạp Lĩnh và, Xã Tân Chi, Bắc Ninh</t>
  </si>
  <si>
    <t>Nhà xưởng số 2, Lô NM2, Cụm CN Nội Hoàng, Tiên Phong, Bắc Ninh</t>
  </si>
  <si>
    <t>CÔNG TY TNHH I SHENG ELECTRIC WIRE &amp; CABLE</t>
  </si>
  <si>
    <t>Lô D4-2, H5-6, KCN Quế Võ, Phường Nam Sơn, Tỉnh Bắc Ninh</t>
  </si>
  <si>
    <t>CÔNG TY TNHH ANLOI KHO NGOẠI QUAN</t>
  </si>
  <si>
    <t>Lô CN6, KCN Bá Thiện 1, xã Bình Tuyên, tỉnh Phú Thọ</t>
  </si>
  <si>
    <t>CÔNG TY TNHH DỊCH VỤ KHO BÃI FEILIKS VĨNH PHÚC</t>
  </si>
  <si>
    <t>KCN Bá Thiện, Xã Bình Xuyên, Tỉnh Phú Thọ</t>
  </si>
  <si>
    <t>DELTA</t>
  </si>
  <si>
    <t>5E Ngô Miên Thiều, Phường Tiên An, Thành phố Bắc Ninh, Tỉnh Bắc Ninh</t>
  </si>
  <si>
    <t>Lô CN-12, KCN Đồng Văn IV, Phường Lê Hồ, Tỉnh Ninh Bình</t>
  </si>
  <si>
    <t>CÔNG TY TNHH GE VERNOVA HẢI PHÒNG</t>
  </si>
  <si>
    <t>Lô H1-H6 và F13A, F13B, F14, F15 KCN Nhật Bản- Hải Phòng, Phường Hồng An, TP Hải Phòng</t>
  </si>
  <si>
    <t>Tiên Sơn,Bắc Ninh</t>
  </si>
  <si>
    <t>CÔNG TY CP TM THIẾT BỊ KT VÀ CÔNG NGHIỆP NTD</t>
  </si>
  <si>
    <t>Số 28, ngõ 36 đường Cổ Linh, tổ 7, Long Biên, TP Hà Nội</t>
  </si>
  <si>
    <t>Đồng Văn 3, Phường Đồng Văn, Ninh Bình</t>
  </si>
  <si>
    <t>DOWOOINSYS VINA</t>
  </si>
  <si>
    <t>KCN Sông Công 2,  Phường Bách Quang, Tỉnh Thái Nguyên</t>
  </si>
  <si>
    <t>CÔNG TY TNHH LITE ON VIỆT NAM</t>
  </si>
  <si>
    <t>Số 149, đường số 10, Khu ĐT, CN và DV VSIP Hải Phòng, Phường Nam Triệu, Thành phố Hải Phòng</t>
  </si>
  <si>
    <t>DESAY BATTERY VINA COMPANY LIMITED</t>
  </si>
  <si>
    <t>Lô FJ-26, KCN Song Khê - Nội Hoàng (phía Nam), Phường Tiền Phong, Bắc Ninh</t>
  </si>
  <si>
    <t>CÔNG TY TNHH NEX VINA</t>
  </si>
  <si>
    <t>Một phần lô CN-5, KCN Hòa Phú, Bắc Ninh</t>
  </si>
  <si>
    <t>Lô F4A, KCN Thăng Long Vĩnh Phúc, Xã Bình Nguyên, Tỉnh Phú Thọ</t>
  </si>
  <si>
    <t>Đường Đông Hải 2, quận Hải An , TP Hải Phòng</t>
  </si>
  <si>
    <t>block 16 Mapletree, số 1 đường 06, KCN Vsip, Phường Từ Sơn, Bắc Ninh</t>
  </si>
  <si>
    <t>CÔNG TY TNHH CÔNG NGHIỆP FULLWEI VIỆT NAM</t>
  </si>
  <si>
    <t>Lô H2-2-1 Khu CN Đại Đồng- Hoàn Sơn, Xã Đại Đồng, Bắc Ninh</t>
  </si>
  <si>
    <t>BONDED WH - VIETNAM</t>
  </si>
  <si>
    <t>KCN Bá Thiện phân khu I, Xã Bình Xuyên, Phú Thọ</t>
  </si>
  <si>
    <t>CÔNG TY TNHH SUNWODA VIỆT NAM</t>
  </si>
  <si>
    <t>KCN Vân Trung, Phường Nếnh, Tỉnh Bắc Ninh</t>
  </si>
  <si>
    <t>SEBONG</t>
  </si>
  <si>
    <t>Yên Phong, Bắc Ninh</t>
  </si>
  <si>
    <t>CÔNG TY TNHH QISDA VIỆT NAM</t>
  </si>
  <si>
    <t>KCN An Phát 1, Km72, Quốc lộ 37, Xã An Phú, TP Hải Phòng</t>
  </si>
  <si>
    <t>CÔNG TY TNHH CASADEVALL VIỆT NAM</t>
  </si>
  <si>
    <t>CÔNG TY TNHH MERITAC PRECISION</t>
  </si>
  <si>
    <t>Nhà xưởng T-1.1 T-1.2 T-1.3 thuộc lô đất T-1, KCN Quế Võ (KMR), P. Nam Sơn, Bắc Ninh</t>
  </si>
  <si>
    <t>CÔNG TY TNHH ITM SEMICONDUCTOR VIETNAM</t>
  </si>
  <si>
    <t>Số 6 đường 11, Vsip Bắc Ninh, Phường Từ Sơn, Bắc Ninh</t>
  </si>
  <si>
    <t>CÔNG TY TNHH CÔNG NGHỆ DING FENG VIỆT NAM</t>
  </si>
  <si>
    <t>Khu công nghiệp Quế Võ (khu vực mở rộng), Phường Phương Liễu, Tỉnh Bắc Ninh</t>
  </si>
  <si>
    <t>CÔNG TY TNHH VẬT LIỆU HEATING &amp; INSULATION RH</t>
  </si>
  <si>
    <t>Lô CN-08, KCN Vân Trung, Phường Nếnh, Tỉnh Bắc Ninh</t>
  </si>
  <si>
    <t>CÔNG TY TNHH KHOA HỌC KỸ THUẬT FU HAI</t>
  </si>
  <si>
    <t>Một phần Lô CN-03, KCN Hòa Phú, Xã Xuân Cẩm, Tỉnh Bắc Ninh</t>
  </si>
  <si>
    <t>CÔNG TY CỔ PHẦN CÔNG NGHIỆP HỖ TRỢ TOMECO</t>
  </si>
  <si>
    <t>KCN hỗ trợ Nam Hà Nội, Xã Đại Xuyên, TP Hà Nội</t>
  </si>
  <si>
    <t>CÔNG TY TNHH DBG TECHNOLOGY</t>
  </si>
  <si>
    <t>Lô CN16, CN17 KCN Yên Bình, Phường Phổ Yên, Thái Nguyên</t>
  </si>
  <si>
    <t>CÔNG TY TNHH ELECWAY TECHNOLOGY</t>
  </si>
  <si>
    <t>Khu công nghiệp Yên Phong II-C, xã Tam Giang, Bắc Ninh</t>
  </si>
  <si>
    <t>SHUNYUN TECHNOLOGY (BAC GIANG)</t>
  </si>
  <si>
    <t>CÔNG TY TNHH POWERLOGICS BÁ THIỆN VINA</t>
  </si>
  <si>
    <t>KCN Bá Thiện II, Xã Bình Xuyên, Phú Thọ</t>
  </si>
  <si>
    <t>md</t>
  </si>
  <si>
    <t>boyd</t>
  </si>
  <si>
    <t>amphenol</t>
  </si>
  <si>
    <t>global</t>
  </si>
  <si>
    <t>KHAI QUANG</t>
  </si>
  <si>
    <t>COMPAL</t>
  </si>
  <si>
    <t>EDGETEL</t>
  </si>
  <si>
    <t>CEM</t>
  </si>
  <si>
    <t>GOERTEK</t>
  </si>
  <si>
    <t>FEILIKS</t>
  </si>
  <si>
    <t>VERNOVA</t>
  </si>
  <si>
    <t>PHOENIX</t>
  </si>
  <si>
    <t>SHINYANG</t>
  </si>
  <si>
    <t>MERLION</t>
  </si>
  <si>
    <t>ANLOI</t>
  </si>
  <si>
    <t>HUYNDAI</t>
  </si>
  <si>
    <t>THUẬN THÀNH</t>
  </si>
  <si>
    <t>SPORTSOUL</t>
  </si>
  <si>
    <t>DOWOOINSYS</t>
  </si>
  <si>
    <t>CHÂU PHONG</t>
  </si>
  <si>
    <t>THANH OAI</t>
  </si>
  <si>
    <t>CHÍNH XÁC</t>
  </si>
  <si>
    <t>VIETNAM POST</t>
  </si>
  <si>
    <t>CHITWING</t>
  </si>
  <si>
    <t>QISDA</t>
  </si>
  <si>
    <t>PND</t>
  </si>
  <si>
    <t>NÚI PHÁO</t>
  </si>
  <si>
    <t>KHO ICD</t>
  </si>
  <si>
    <t>NEX VINA</t>
  </si>
  <si>
    <t>KHO MAERSK</t>
  </si>
  <si>
    <t>VSO</t>
  </si>
  <si>
    <t>DESAY</t>
  </si>
  <si>
    <t>NAM SƠN</t>
  </si>
  <si>
    <t>SONG KHÊ</t>
  </si>
  <si>
    <t>NỘI HOÀNG</t>
  </si>
  <si>
    <t>NEW START</t>
  </si>
  <si>
    <t>LITE ON</t>
  </si>
  <si>
    <t>VIDIFI DUYÊN HẢI</t>
  </si>
  <si>
    <t>I SHENG</t>
  </si>
  <si>
    <t>Vĩnh Phúc</t>
  </si>
  <si>
    <t>LONG BIÊN</t>
  </si>
  <si>
    <t>BÌNH NGUYÊN</t>
  </si>
  <si>
    <t>ĐỒNGVĂN</t>
  </si>
  <si>
    <t>FULLWEI</t>
  </si>
  <si>
    <t>ICD</t>
  </si>
  <si>
    <t>NTD</t>
  </si>
  <si>
    <t>VIETNAM POST VĨNH  PHÚC</t>
  </si>
  <si>
    <t>MAERSK</t>
  </si>
  <si>
    <t>Đại Đồng</t>
  </si>
  <si>
    <t>Bình Xuyên</t>
  </si>
  <si>
    <t>Nếnh</t>
  </si>
  <si>
    <t>Nam Sơn</t>
  </si>
  <si>
    <t>Phổ Yên</t>
  </si>
  <si>
    <t>Tam Giang</t>
  </si>
  <si>
    <t>Bách Quang</t>
  </si>
  <si>
    <t>An Phú</t>
  </si>
  <si>
    <t>TOMECO</t>
  </si>
  <si>
    <t>BONDED</t>
  </si>
  <si>
    <t>SUNWODA</t>
  </si>
  <si>
    <t>CASADEVALL</t>
  </si>
  <si>
    <t>ITM</t>
  </si>
  <si>
    <t>SHUNYUN</t>
  </si>
  <si>
    <t>MEGA</t>
  </si>
  <si>
    <t>BIEL CRYSTAL</t>
  </si>
  <si>
    <t>DING FENG</t>
  </si>
  <si>
    <t>ĐẠI XUYÊN</t>
  </si>
  <si>
    <t>MERITAC</t>
  </si>
  <si>
    <t>DBG</t>
  </si>
  <si>
    <t>ELECWAY</t>
  </si>
  <si>
    <t>BIEL</t>
  </si>
  <si>
    <t>Yên Trung</t>
  </si>
  <si>
    <t>HEATING</t>
  </si>
  <si>
    <t>POWERLOGICS</t>
  </si>
  <si>
    <t>FU HAI</t>
  </si>
  <si>
    <t>Thái Nguyên</t>
  </si>
  <si>
    <t>Phú Thọ</t>
  </si>
  <si>
    <t>YÊN BÌNH</t>
  </si>
  <si>
    <t>BYD</t>
  </si>
  <si>
    <t>ADVANTEC</t>
  </si>
  <si>
    <t>YIPAN</t>
  </si>
  <si>
    <t>TESTRON</t>
  </si>
  <si>
    <t>NEWWING</t>
  </si>
  <si>
    <t>Lô CN-2A, KCN Phú Hà, Phường Phú Thọ, Tỉnh Phú Thọ</t>
  </si>
  <si>
    <t>MEGA TECHNOLOGY &amp; SOLUTION VIETNAM</t>
  </si>
  <si>
    <t>Lô CN8-1, KCN Yên Phong II-C, xã Tam Giang, Xã Yên Phong, Bắc Ninh</t>
  </si>
  <si>
    <t>CÔNG TY TNHH ADVANTEC VIỆT NAM</t>
  </si>
  <si>
    <t>Lô CN02-1 – KCN Yên Phong (Khu mở rộng), Xã Yên Trung, Bắc Ninh</t>
  </si>
  <si>
    <t xml:space="preserve">Số 98, Đường Hữu Nghị, KCN ĐT và DV VSIP Bắc Ninh </t>
  </si>
  <si>
    <t>CÔNG TY TNHH YIPAN VN</t>
  </si>
  <si>
    <t>Unit 4A, NX Cao Tầng Tòa 1, Số 2, Đ. BH5, KCN VSIP Bắc Ninh, Phường Từ Sơn, Bắc Ninh</t>
  </si>
  <si>
    <t>CHI NHÁNH CÔNG TY TNHH H&amp;P LOGIS VIỆT NAM TẠI BẮC NINH</t>
  </si>
  <si>
    <t>Lô CN7-10 và lô CN8-5, khu công nghiệp mở rộng Yên Phong, Xã Yên Trung, Tỉnh Bắc Ninh</t>
  </si>
  <si>
    <t>CÔNG TY TNHH TESTRON TECHNOLOGY</t>
  </si>
  <si>
    <t>Unit 1B, Nhà xưởng Cao Tầng Toà 1, Số 2, Đường BH5, KCN VSIP, Phường Từ Sơn, Tỉnh Bắc Ninh</t>
  </si>
  <si>
    <t>CÔNG TY TNHH CÔNG NGHỆ FULLINK VIỆT NAM</t>
  </si>
  <si>
    <t>Lô V-3, đường N1, KCN Quế Võ II, Phường Đào Viên, Bắc Ninh</t>
  </si>
  <si>
    <t>CAMBIUM NETWORKS, LTD</t>
  </si>
  <si>
    <t>Lô CN4-1, KCN Yên Phong (Khu mở rộng), Xã Dung Liệt, Xã Thụy Hòa, Xã Tam Đa, Tỉnh Bắc Ninh</t>
  </si>
  <si>
    <t>SUMIDA ELECTRONIC VIETNAM CO.,LTD STANDARD</t>
  </si>
  <si>
    <t>Nhà xưởng tiêu chuẩn B1 và B2 , KCN  Nhật Bản-Hải, Phường An Dương, TP Hải Phòng</t>
  </si>
  <si>
    <t>CÔNG TY TNHH LIAN YING VIỆT NAM</t>
  </si>
  <si>
    <t>Lô II-CN-02.2, KCN Thanh Liêm, Phường Châu Sơn, Tỉnh Ninh Bình</t>
  </si>
  <si>
    <t>CÔNG TY CỔ PHẦN GRAND FORWARD VIỆT NAM</t>
  </si>
  <si>
    <t>Lô CN 16-01, Khu Phi Thuế Quan và KCN Nam Đình Vũ (Khu 1) thuộc Khu Kinh Tế Đình Vũ - Cát Hải, Đông Hải, Hải Phòng</t>
  </si>
  <si>
    <t xml:space="preserve">CÔNG TY TNHH NEWWING INTERCONNECT TECHNOLOGY </t>
  </si>
  <si>
    <t>Lô 08, KCN Vân Trung, Phường Nếnh, Tỉnh Bắc Ninh</t>
  </si>
  <si>
    <t>FOSITEK (VIETNAM) COMPANY LIMITED</t>
  </si>
  <si>
    <t>Khu công nghiệp Đồng Văn III, Phường Duy Hà, Tỉnh Ninh Bình</t>
  </si>
  <si>
    <t>PHÚ HÀ</t>
  </si>
  <si>
    <t>THANH LIÊM</t>
  </si>
  <si>
    <t>CAMBIUM</t>
  </si>
  <si>
    <t>SUMIDA</t>
  </si>
  <si>
    <t>FOSITEK</t>
  </si>
  <si>
    <t>FULLINK</t>
  </si>
  <si>
    <t>FORWARD</t>
  </si>
  <si>
    <t>Đào Viên</t>
  </si>
  <si>
    <t>Đông Hải</t>
  </si>
  <si>
    <t>H&amp;P</t>
  </si>
  <si>
    <t>Tam Đa</t>
  </si>
  <si>
    <t>An Dương</t>
  </si>
  <si>
    <t>Châu Sơn</t>
  </si>
  <si>
    <t>Phương Liễu</t>
  </si>
  <si>
    <t>Duy Hà</t>
  </si>
  <si>
    <t>LIAN YING</t>
  </si>
  <si>
    <t>ARCADYAN</t>
  </si>
  <si>
    <t>ADTEK</t>
  </si>
  <si>
    <t>ABILITY</t>
  </si>
  <si>
    <t>BEHPEX</t>
  </si>
  <si>
    <t>EST VINA</t>
  </si>
  <si>
    <t>JUCHU</t>
  </si>
  <si>
    <t>EROVIEW</t>
  </si>
  <si>
    <t>TONGWEI</t>
  </si>
  <si>
    <t>SNC</t>
  </si>
  <si>
    <t>PROFIBER</t>
  </si>
  <si>
    <t>MD</t>
  </si>
  <si>
    <t>GIÀY ĐÔNG ANH</t>
  </si>
  <si>
    <t>MSL</t>
  </si>
  <si>
    <t>LCFC</t>
  </si>
  <si>
    <t>CHUNQIU</t>
  </si>
  <si>
    <t>NAM SUNG</t>
  </si>
  <si>
    <t>NÔNG SẢN</t>
  </si>
  <si>
    <t>WE SUM</t>
  </si>
  <si>
    <t>CÔNG TY TNHH SJ THERMAL VINA</t>
  </si>
  <si>
    <t>CÔNG TY TNHH ABILITY ELECTRONICS TECHNOLOGY VIETNAM</t>
  </si>
  <si>
    <t>VISION MATERIALS VIET</t>
  </si>
  <si>
    <t>CÔNG TY CỔ PHẦN AUSTRONG GROUP</t>
  </si>
  <si>
    <t>CÔNG TY TNHH ĐIỆN TỬ STREAMAX (VIỆT NAM)</t>
  </si>
  <si>
    <t>THERMAL</t>
  </si>
  <si>
    <t>VISION</t>
  </si>
  <si>
    <t>AUSTRONG</t>
  </si>
  <si>
    <t>STREAMAX</t>
  </si>
  <si>
    <t>SUGA</t>
  </si>
  <si>
    <t>TONGHE</t>
  </si>
  <si>
    <t>M&amp;S</t>
  </si>
  <si>
    <t>YIJIE</t>
  </si>
  <si>
    <t>THÀNH AN</t>
  </si>
  <si>
    <t>TIANYU</t>
  </si>
  <si>
    <t>VINASUN</t>
  </si>
  <si>
    <t>KUEHNE</t>
  </si>
  <si>
    <t>WISTRON</t>
  </si>
  <si>
    <t>RQ</t>
  </si>
  <si>
    <t>SYNOPEX</t>
  </si>
  <si>
    <t>Hạp Lĩnh</t>
  </si>
  <si>
    <t>CUM</t>
  </si>
  <si>
    <t>ASSEMBLY</t>
  </si>
  <si>
    <t>E-PAC</t>
  </si>
  <si>
    <t>CHILISIN</t>
  </si>
  <si>
    <t>ENPLA</t>
  </si>
  <si>
    <t>BAC KY INVESTMENT JOINT STOCK COMPANY</t>
  </si>
  <si>
    <t>RQ TECHNOLOGY ELECTRONICS VIET NAM COMPANY LIMITED</t>
  </si>
  <si>
    <t>CTY TNHH SAMJU VINA</t>
  </si>
  <si>
    <t>CTY TNHH HANWHA TECHWIN SECURITY VN</t>
  </si>
  <si>
    <t>BẮC KỲ</t>
  </si>
  <si>
    <t>Tiên Sơn</t>
  </si>
  <si>
    <t>IMD</t>
  </si>
  <si>
    <t>SAMJU</t>
  </si>
  <si>
    <t>HANWHA</t>
  </si>
  <si>
    <t>COVA TEC</t>
  </si>
  <si>
    <t>ETS</t>
  </si>
  <si>
    <t>RM</t>
  </si>
  <si>
    <t>QMH</t>
  </si>
  <si>
    <t>SEOUL</t>
  </si>
  <si>
    <t>AMTRAN</t>
  </si>
  <si>
    <t>LENS</t>
  </si>
  <si>
    <t>MEIKO</t>
  </si>
  <si>
    <t>LG DISPLAY</t>
  </si>
  <si>
    <t>SAMKWANG</t>
  </si>
  <si>
    <t>VSUN</t>
  </si>
  <si>
    <t>TESCOM</t>
  </si>
  <si>
    <t>MAGNETEC</t>
  </si>
  <si>
    <t>CFS</t>
  </si>
  <si>
    <t>ZHUANG</t>
  </si>
  <si>
    <t>CÔNG TY TNHH ADTEK (VIỆT NAM)</t>
  </si>
  <si>
    <t>Lô TT, Đường TS5, Khu công nghiệp Tiên Sơn, Phường Từ Sơn, Tỉnh Bắc Ninh, Việt Nam</t>
  </si>
  <si>
    <t>CÔNG TY EST VINA HẢI PHÒNG</t>
  </si>
  <si>
    <t>CTY TNHH CÔNG NGHỆ JOCHU VIỆT NAM</t>
  </si>
  <si>
    <t>CÔNG TY CP TẬP ĐOÀN EUROVIEW</t>
  </si>
  <si>
    <t>Thửa đất C-04, một phần thửa đất C-05 thuộc lô đất CN12 Khu công nghiệp An Dương, Phường An Phong, Thành phố Hải Phòng</t>
  </si>
  <si>
    <t>SNC ELECTRONICS VIETNAM CO., LIMITED</t>
  </si>
  <si>
    <t>Nhà xưởng A1, A2, A3, Lô 6, KCN Cẩm Điền – Lương, Xã Cẩm Giàng, TP Hải Phòng</t>
  </si>
  <si>
    <t>Nhà xưởng R4, Khu Công nghiệp Bá Thiện – Phân Khu I, Xã Bình Xuyên, Tỉnh Phú Thọ</t>
  </si>
  <si>
    <t>KCN Bình Xuyên, Xã Xuân Lãng, Tỉnh Phú Thọ</t>
  </si>
  <si>
    <t>số 378 Nguyễn Thiện Thuật, Phường Phan Đình Phùng, Thị xã Mỹ Hào, tỉnh Hưng Yên</t>
  </si>
  <si>
    <t>Số 250, đường Đào Cam Mộc, xã Đông Anh, TP Hà Nội</t>
  </si>
  <si>
    <t>Xóm Xướng Chử ĐV5, Xã Hải Hưng, Tỉnh Ninh Bình</t>
  </si>
  <si>
    <t>Lô CN8-5-1 KCN Yên Phong mở rộng, xã Yên Trung , Tỉnh Bắc Ninh</t>
  </si>
  <si>
    <t>CÔNG TY TNHH LCFC</t>
  </si>
  <si>
    <t>Lô 1, Khu công nghiệp hỗ trợ Đồng Văn III , Phường Duy Hà, Tỉnh Ninh Bình</t>
  </si>
  <si>
    <t>CÔNG TY TNHH CHUNQIU ELECTRONIC</t>
  </si>
  <si>
    <t>CÔNG TY TNHH NHÔM NAM SUNG VIỆT NAM</t>
  </si>
  <si>
    <t>CÔNG TY CP NÔNG SẢN THỰC PHẨM VÀ BAO BÌ VĨNH PHÚC</t>
  </si>
  <si>
    <t>Thôn Ngoại Trạch, Xã Bình Nguyên, Tỉnh Phú Thọ</t>
  </si>
  <si>
    <t>Song Khê, Phường Tiền Phong, Tỉnh Bắc Ninh</t>
  </si>
  <si>
    <t>Nhà xưởng A2, số 05, đường 21A, KCN, ĐT và DV Vsip Bắc Ninh, Xã Đại Đồng, Tỉnh Bắc Ninh</t>
  </si>
  <si>
    <t>Lot 28, KCN Quang Minh, Hà Nội</t>
  </si>
  <si>
    <t>KCN Tiên Sơn, Phường Từ Sơn, Tỉnh Bắc Ninh</t>
  </si>
  <si>
    <t>CÔNG TY TNHH SUGA INTERNATIONAL (VIỆT NAM)</t>
  </si>
  <si>
    <t>Lô CN11-3, Khu công nghiệp Quế Võ 3, Phường Quế Võ, Tỉnh Bắc Ninh</t>
  </si>
  <si>
    <t>CÔNG TY TNHH CÔNG NGHỆ ĐIỆN TỬ YIJIE</t>
  </si>
  <si>
    <t>Lô CN15, Cụm công nghiệp Việt Tiến, Tỉnh Bắc Ninh</t>
  </si>
  <si>
    <t>Lô CN8-5-1 KCN Yên Phong mở rộng, Bắc Ninh</t>
  </si>
  <si>
    <t>CÔNG TY CP TẬP ĐOÀN TH VINASUN</t>
  </si>
  <si>
    <t>Block 17 Mapletree, đường số 6, KCN VSIP, Bắc Ninh</t>
  </si>
  <si>
    <t>YP2-2 KCN Yên Phong Bắc Ninh</t>
  </si>
  <si>
    <t>CÔNG TY TNHH GIA CÔNG CƠ KHÍ THÀNH AN</t>
  </si>
  <si>
    <t>CÔNG TY TNHH TONGHE VINA</t>
  </si>
  <si>
    <t>LOGISTICS CUM CUSTOMER SERVICE DEPT</t>
  </si>
  <si>
    <t>Lô CN 10-03, KCN Yên Phong (khu mở rộng), Xã Yên Trung, Tỉnh Bắc Ninh</t>
  </si>
  <si>
    <t>VOLEX CABLE ASSEMBLY VIETNAM</t>
  </si>
  <si>
    <t>Lô D-5b, khu công nghiệp Thăng Long, Xã Thiên Lộc, TP Hà Nội</t>
  </si>
  <si>
    <t>E-PAC VIETNAM PACKAGING CO.,LTD</t>
  </si>
  <si>
    <t>Nhà xưởng CN-06-39, Lô CN-06, KCN Vân Trung, Phường Nếnh, Tỉnh Bắc Ninh</t>
  </si>
  <si>
    <t>CÔNG TY TNHH DIEN TU CHILISIN VN</t>
  </si>
  <si>
    <t>Số 143,145, đường số 10, KĐT, công nghiệp và dịch vụ VSIP Hải PHòng, Phường Nam Triệu, TP Hải Phòng</t>
  </si>
  <si>
    <t>CÔNG TY TNHH M&amp;S VINA</t>
  </si>
  <si>
    <t>Thôn Nghiên Phấn, Phường Thạch Khôi, TP Hải Phòng</t>
  </si>
  <si>
    <t>CÔNG TY TNHH BẮC NINH ENPLA</t>
  </si>
  <si>
    <t>Phường Hạp Lĩnh, Tỉnh Bắc Ninh</t>
  </si>
  <si>
    <t>KCN hỗ trợ Đồng Văn III giai đoạn II, Phường Duy Hà,Ninh Bình</t>
  </si>
  <si>
    <t>Lô 7 đường TS9, KCN Tiên Sơn, Tỉnh Bắc Ninh</t>
  </si>
  <si>
    <t>Nhà xưởng số 5, 7, 8A, 8B, 8C, Lô CN16, CN17, Khu công nghiệp Yên Bình, Phường Phổ Yên, Tỉnh Thái Nguyên</t>
  </si>
  <si>
    <t>Lô số CN7-1, Khu Công nghiệp Quế Võ III, Xã Việt Hùng, Phường Quế Võ, Tỉnh Bắc Ninh</t>
  </si>
  <si>
    <t>Lô CN3-3 Khu công nghiệp Điềm Thụy, Xã Điềm Thụy, Tỉnh Thái Nguyên</t>
  </si>
  <si>
    <t>KCN Quế Võ,Bắc Ninh</t>
  </si>
  <si>
    <t>KCN Tiên Sơn mở rộng, Bắc Ninh</t>
  </si>
  <si>
    <t>CÔNG TY TNHH RM TECH</t>
  </si>
  <si>
    <t>Lô CN5 Cụm Công nghiệp Nguyên Khê, Xã Thư Lâm, TP Hà Nội</t>
  </si>
  <si>
    <t>CÔNG TY TNHH MÁY TÍNH QMH</t>
  </si>
  <si>
    <t>Lô CN14, KCN Mỹ Thuận, Phường Mỹ Lộc, Tỉnh Ninh Bình</t>
  </si>
  <si>
    <t>SEOUL SEMICONDUCTOR VINA</t>
  </si>
  <si>
    <t>Khu công nghiệp Đồng Văn I, phường Đồng Văn, Ninh Bình</t>
  </si>
  <si>
    <t>AMTRAN VIETNAM TECHNOLOGY COMPANY LIMITED</t>
  </si>
  <si>
    <t>Số 115, đường Đông - Tây, Khu đô thị, công nghiệp và dịch vụ VSIP Hải Phòng, Phường Hòa Bình, TP Hải Phòng</t>
  </si>
  <si>
    <t>CÔNG TY TNHH LG DISPLAY VIỆT NAM</t>
  </si>
  <si>
    <t>KCN Tràng Duệ, thuộc khu kinh tế Đình Vũ, Phường An Phong, TP Hải Phòng</t>
  </si>
  <si>
    <t>Khu công nghiệp Quang Châu, Phường Nếnh, Tỉnh Bắc Ninh</t>
  </si>
  <si>
    <t>LENS TECHNOLOGY (VIETNAM) CO.LTD</t>
  </si>
  <si>
    <t xml:space="preserve"> MEIKO ELECTRONICS VIETNAM</t>
  </si>
  <si>
    <t>Lô CN9, KCN Thạch Thất – Quốc Oai, Xã Tây Phương, TP Hà Nội</t>
  </si>
  <si>
    <t>Lô CN-53, KCN Thuận Thành II, Phường Mão Điền, Bắc Ninh</t>
  </si>
  <si>
    <t>CÔNG TY TNHH TESCOM VIỆT NAM BRANCH</t>
  </si>
  <si>
    <t>Số 14, Đường số 8, Khu đô thị Waterfont city, phường Lê Chân, Hải Phòng</t>
  </si>
  <si>
    <t xml:space="preserve">CÔNG TY TNHH MAGNETEC VIỆT NAM                                                                                                       </t>
  </si>
  <si>
    <t xml:space="preserve">KKT Đình Vũ- Cát Hải, Đông Hải, Hải Phòng  </t>
  </si>
  <si>
    <t>CÔNG TY TNHH HUA ZHUANG ELECTRONICS VN</t>
  </si>
  <si>
    <t>Một phần lô J, KCN Đồng Văn II, Phường Đồng Văn, Ninh Bình</t>
  </si>
  <si>
    <t>CFS HPH - VIDIFI</t>
  </si>
  <si>
    <t>Duyên Hải Park, phường Hải An, Hải Phòng</t>
  </si>
  <si>
    <t>Đông Anh</t>
  </si>
  <si>
    <t>ĐÔNG ANH</t>
  </si>
  <si>
    <t>VIỆT TIẾN</t>
  </si>
  <si>
    <t>QUANG MINH</t>
  </si>
  <si>
    <t>Bình Nguyên</t>
  </si>
  <si>
    <t>Trần Phú</t>
  </si>
  <si>
    <t>Duy Tiên</t>
  </si>
  <si>
    <t>Thiên Lộc</t>
  </si>
  <si>
    <t>Nam Triệu</t>
  </si>
  <si>
    <t>Thạch Khôi</t>
  </si>
  <si>
    <t>Điềm Thụy</t>
  </si>
  <si>
    <t>Thư Lâm</t>
  </si>
  <si>
    <t>Mỹ Lộc</t>
  </si>
  <si>
    <t>Hòa Bình</t>
  </si>
  <si>
    <t>An Phong</t>
  </si>
  <si>
    <t>Tây Phương</t>
  </si>
  <si>
    <t>MỸ THUẬN</t>
  </si>
  <si>
    <t>HẠP LĨNH</t>
  </si>
  <si>
    <t>THẠCH THẤT</t>
  </si>
  <si>
    <t>KCN THĂNG LONG</t>
  </si>
  <si>
    <t>NGUYÊN KHÊ</t>
  </si>
  <si>
    <t>KCN Yên Phong, Yên Trung, Bắc Ninh</t>
  </si>
  <si>
    <t>Nội Bài</t>
  </si>
  <si>
    <t>Hà Nội</t>
  </si>
  <si>
    <t>Vân Dương</t>
  </si>
  <si>
    <t>Vạn Xuân</t>
  </si>
  <si>
    <t>Lê Hồ</t>
  </si>
  <si>
    <t>Ninh Bình</t>
  </si>
  <si>
    <t>Hiệp Hòa</t>
  </si>
  <si>
    <t>Quảng Ninh</t>
  </si>
  <si>
    <t>Như Quỳnh</t>
  </si>
  <si>
    <t>Xuân Trúc</t>
  </si>
  <si>
    <t>Đông Cứu</t>
  </si>
  <si>
    <t>Mỹ Hào</t>
  </si>
  <si>
    <t>Tam Nông</t>
  </si>
  <si>
    <t>Lê Đại Hành</t>
  </si>
  <si>
    <t>Hải Phòng</t>
  </si>
  <si>
    <t>Sóc Sơn</t>
  </si>
  <si>
    <t>Bình Tuyền</t>
  </si>
  <si>
    <t>Đồng Nguyên</t>
  </si>
  <si>
    <t>Xuân Lãng</t>
  </si>
  <si>
    <t>Phúc Yên</t>
  </si>
  <si>
    <t>Ngọc Hồi</t>
  </si>
  <si>
    <t>Yên Mô</t>
  </si>
  <si>
    <t>Xuân Cẩm</t>
  </si>
  <si>
    <t>Hải An</t>
  </si>
  <si>
    <t>Tứ Minh</t>
  </si>
  <si>
    <t>Mão Điền</t>
  </si>
  <si>
    <t>Phù Lãng</t>
  </si>
  <si>
    <t>An Khánh</t>
  </si>
  <si>
    <t>Tân Chi</t>
  </si>
  <si>
    <t>Tiên Phong</t>
  </si>
  <si>
    <t>Bình Tuyên</t>
  </si>
  <si>
    <t>Tiên An</t>
  </si>
  <si>
    <t>Hồng An</t>
  </si>
  <si>
    <t>Long Biên</t>
  </si>
  <si>
    <t>Đồng Văn</t>
  </si>
  <si>
    <t>Tiền Phong</t>
  </si>
  <si>
    <t>Quận Hải An</t>
  </si>
  <si>
    <t>Bình Minh</t>
  </si>
  <si>
    <t>Đại Xuyên</t>
  </si>
  <si>
    <t>Cẩm Giàng</t>
  </si>
  <si>
    <t>Hải Hưng</t>
  </si>
  <si>
    <t>Hiền Khánh</t>
  </si>
  <si>
    <t>Quang Minh</t>
  </si>
  <si>
    <t>Tự Lạn</t>
  </si>
  <si>
    <t>Lê Chân</t>
  </si>
  <si>
    <t>Đông HảI</t>
  </si>
  <si>
    <t>Lô D4-5-6 Khu Công nghiệp Thăng Long Vĩnh Phúc, Xã Bình Xuyên, Phú Thọ</t>
  </si>
  <si>
    <t>MỸ HÀO</t>
  </si>
  <si>
    <t>TAM NÔNG</t>
  </si>
  <si>
    <t>CÔNG TY TNHH SAMSUNG ELECTRONICS VIỆT NAM (SEV)</t>
  </si>
  <si>
    <t>CÔNG TY TNHH SAMSUNG DISPLAY VIỆT NAM (SDV)</t>
  </si>
  <si>
    <t>CÔNG TY CỔ PHẦN DỊCH VỤ SÂN BAY SÀI GÒN (ASGS)</t>
  </si>
  <si>
    <t>CÔNG TY CỔ PHẦN TIẾP VẬN THẾ KỶ (CLC)</t>
  </si>
  <si>
    <t>CÔNG TY CỔ PHẦN ALS ĐÔNG HÀ NỘI (ALSE)</t>
  </si>
  <si>
    <t>CÔNG TY TNHH VDS VIỆT NAM</t>
  </si>
  <si>
    <t>CÔNG TY DOEW</t>
  </si>
  <si>
    <t>CÔNG TY TNHH JPC CONNECTIVITY</t>
  </si>
  <si>
    <t>CÔNG TY TNHH KOSTAT VINA</t>
  </si>
  <si>
    <t>KHO LẠNH SAM SUNG SDS</t>
  </si>
  <si>
    <t>CÔNG TY TNHH PRECISION TECHNOLOGY COMPONENT FULIAN</t>
  </si>
  <si>
    <t>NHÀ MÁY AKZONOBEL</t>
  </si>
  <si>
    <t>KHO YUSEN</t>
  </si>
  <si>
    <t>CÔNG TY TNHH LUXSHARE-ICT (VÂN TRUNG)</t>
  </si>
  <si>
    <t>CÔNG TY TNHH CÔNG NGHỆ CHÍNH XÁC FUNING</t>
  </si>
  <si>
    <t>KHO CL-CÔNG TY TNHH KUEHNE+NAGEL, BLOCK 17 MAPLETREE</t>
  </si>
  <si>
    <t>KHO CÔNG TY MD GIAO NHẬN VẬN TẢI VN</t>
  </si>
  <si>
    <t>CÔNG TY TNHH AMPHENOL HIGH SPEED CABLE VIỆT NAM</t>
  </si>
  <si>
    <t>CÔNG TY CHITWING VIỆT NAM</t>
  </si>
  <si>
    <t>MERLION TECH  BẮC NINH</t>
  </si>
  <si>
    <t>CÔNG TY TNHH CÔNG NGHIỆP NEW START VIỆT NAM</t>
  </si>
  <si>
    <t>BIEL BẮC NINH</t>
  </si>
  <si>
    <t>WE SUM TECHNOLOGY</t>
  </si>
  <si>
    <t>CÔNG TY TNHH CÔNG NGHỆ ĐIỆN TỬ TIANYU VIỆT NAM</t>
  </si>
  <si>
    <t>CÔNG TY TNHH KUEHNE+NAGEL</t>
  </si>
  <si>
    <t>CÔNG TY CỔ PHẦN SYNOPEX VIỆT NAM</t>
  </si>
  <si>
    <t>CÔNG TY IMD</t>
  </si>
  <si>
    <t>CÔNG TY TNHH ETS VINA</t>
  </si>
  <si>
    <t>CÔNG TY TNHH SAMKWANG VINA</t>
  </si>
  <si>
    <t>CÔNG TY TNHH VSUN</t>
  </si>
  <si>
    <t>CÔNG TY CỔ PHẦN DỊCH VỤ HÀNG HÓA NỘI BÀI (NCTS)</t>
  </si>
  <si>
    <t>CÔNG TY TNHH DỊCH VỤ KHO VẬN ALS (ALSW)</t>
  </si>
  <si>
    <t>CÔNG TY PND VIET NAM</t>
  </si>
  <si>
    <t>CÔNG TY CỔ PHẦN GIÀY ĐÔNG ANH</t>
  </si>
  <si>
    <t>TẬP ĐOÀN CÔNG NGHỆ FOXCONN</t>
  </si>
  <si>
    <t>KHO SAMSUNG</t>
  </si>
  <si>
    <t>GALAXY VIỆT NAM</t>
  </si>
  <si>
    <t>KCN THĂNG LONG II, MỸ HÀO, HƯNG YÊN</t>
  </si>
  <si>
    <t>CẢNG ĐÌNH VŨ, HẢI PHÒNG</t>
  </si>
  <si>
    <t>CÔNG TY TNHH WE SUM TECHNOLOGY VĨNH PHÚC</t>
  </si>
  <si>
    <t>SURCHEER, PHUC YEN SHOES JOINT STOCK COMPANY</t>
  </si>
  <si>
    <t>CÔNG TY TNHH MTV MASTER VINA (CƠ SỞ 2-NHÀ MÁY GẤU BÔNG)</t>
  </si>
  <si>
    <t>CÔNG TY TNHH CÔNG NGHIỆP CHÍNH XÁC VIET NAM(XƯỞNG 3)</t>
  </si>
  <si>
    <t>VIETNAM POST – KNQ HÀ NAM</t>
  </si>
  <si>
    <t>VIETNAM POST – KNQ VĨNH PHÚC</t>
  </si>
  <si>
    <t>K5-VIDIFI DUYÊN HẢI LOGISTICS PARK</t>
  </si>
  <si>
    <t>CÔNG TY TNHH CÔNG NGHỆ BIEL CRYSTAL VIỆT NAM</t>
  </si>
  <si>
    <t>CÔNG TY TNHH ĐIỆN TỬ BYD VIỆT NAM</t>
  </si>
  <si>
    <t>CÔNG TY TNHH ARCADYAN TECHNOLOGY (VIỆT NAM)</t>
  </si>
  <si>
    <t>CÔNG TY TNHH ĐIỆN TỬ TONGWEI</t>
  </si>
  <si>
    <t>CÔNG TY TNHH CÔNG NGHIỆP PROFIBER</t>
  </si>
  <si>
    <t>CÔNG TY TNHH BEHPEX CABLE</t>
  </si>
  <si>
    <t>CÔNG TY TNHH KỸ THUẬT ĐIỆN TỬ MSL VN</t>
  </si>
  <si>
    <t>WISTRON, LÔ CN09 VÀ CN10</t>
  </si>
  <si>
    <t>CÔNG TY CỔ PHẦN LOGISTICS ASG (ASGL)</t>
  </si>
  <si>
    <t>SAMSUNG ELECTRO-MECHANICS VIỆT NAM (SEMV)</t>
  </si>
  <si>
    <t>SAMSUNG ELECTRONICS VIỆT NAM (SEVT)</t>
  </si>
  <si>
    <t>CÔNG TY TNHH DAINESE VIỆT NAM</t>
  </si>
  <si>
    <t>CÔNG TY TNHH HADANBI VINA</t>
  </si>
  <si>
    <t>CÔNG TY TNHH SR TECH</t>
  </si>
  <si>
    <t>CÔNG TY TNHH SHINSUNG C&amp;T VINA</t>
  </si>
  <si>
    <t>CÔNG TY TNHH DONGSUNG VINA</t>
  </si>
  <si>
    <t>CÔNG TY CP HYUNDAI ALUMINUM VINA TẠI THÁI NGUYÊN</t>
  </si>
  <si>
    <t>CÔNG TY TNHH KHAI THÁC CHẾ BIẾN KHOÁNG SẢN NÚI PHÁO</t>
  </si>
  <si>
    <t>Loại hình phục vụ</t>
  </si>
  <si>
    <t>HHHK</t>
  </si>
  <si>
    <t>Hàng ngoài</t>
  </si>
  <si>
    <t>Dữ liệu hàng ngoài đóng và trả 1 điểm</t>
  </si>
  <si>
    <t>Mã đơn hàng</t>
  </si>
  <si>
    <t>ASG1</t>
  </si>
  <si>
    <t>ASG2</t>
  </si>
  <si>
    <t>ASG3</t>
  </si>
  <si>
    <t>ASG4</t>
  </si>
  <si>
    <t>ASG5</t>
  </si>
  <si>
    <t>ASG6</t>
  </si>
  <si>
    <t>ASG7</t>
  </si>
  <si>
    <t>ASG8</t>
  </si>
  <si>
    <t>ASG9</t>
  </si>
  <si>
    <t>ASG10</t>
  </si>
  <si>
    <t>BẢNG THỐNG KÊ TỔNG HỢP CÁC CHUYẾN ĐÃ PHỤC VỤ</t>
  </si>
  <si>
    <t>Quang Châu Yên Phong</t>
  </si>
  <si>
    <t>Vân Trung ALSE</t>
  </si>
  <si>
    <t>+ Ghép điểm đóng hàng và điểm nhận hàng thành 1 hành trình</t>
  </si>
  <si>
    <t>Địa điểm viết tắt</t>
  </si>
  <si>
    <t>VDS</t>
  </si>
  <si>
    <t>HADANBI</t>
  </si>
  <si>
    <t>SR TECH</t>
  </si>
  <si>
    <t>Km tại điểm nhận hàng</t>
  </si>
  <si>
    <t>Km tại điểm trả hàng</t>
  </si>
  <si>
    <t>6 Carton</t>
  </si>
  <si>
    <t>5 Pallet</t>
  </si>
  <si>
    <t>10 Carton</t>
  </si>
  <si>
    <t>Loại hàng</t>
  </si>
  <si>
    <t>15 Pallet</t>
  </si>
  <si>
    <t>GRC</t>
  </si>
  <si>
    <t>DG</t>
  </si>
  <si>
    <t>Hàng ngoài ko có mục này</t>
  </si>
  <si>
    <t>HHHK có mục này</t>
  </si>
  <si>
    <t>Auto theo DS xe</t>
  </si>
  <si>
    <t>NOTE Từ dữ liệu chi tiết se chuyển sang bảng tổng hợp chuyến phụ vụ cần lưu ý</t>
  </si>
  <si>
    <t>Bảng tổng hợp chuyến vận chuyển (dữ liệu do điều hành và lái xe cập nhật theo thực tế)</t>
  </si>
  <si>
    <t>+ Chuyển các địa điểm đóng hàng và nhận hàng thành các địa điểm viết tắt và ghép lại thành 1 hành trình</t>
  </si>
  <si>
    <t>+ Chuyển các địa điểm đóng hàng và nhận hàng thành địa điểm viết tắt sau đó ghép điểm đóng hàng đầu tiên và điểm trả hàng cuối cùng thành 1 hành trình
+ Thời gian đóng hàng lấy thời gian bắt đầu đóng hàng, thời gian xe chạy và thời gian xe đến ở chặng đầu tiên, thời gian hạ hàng được lấy ở chặng cuối cùng
+ Ngày hạ hàng là ngày hạ hàng ở điểm trả hàng cuối cùng</t>
  </si>
  <si>
    <t>Dữ liệu HHHK (dòng này chỉ thể hiện để mô tả để em biết, còn trong form ko cần nhé)</t>
  </si>
  <si>
    <t>Dữ liệu hàng ngoài đóng và trả 1 điểm (dòng này chỉ thể hiện để mô tả để em biết, còn trong form ko cần nhé)</t>
  </si>
  <si>
    <t>Dữ liệu hàng ngoài đóng hoặc trả nhiều điểm (dòng này chỉ thể hiện để mô tả để em biết, còn trong form ko cần nhé)</t>
  </si>
  <si>
    <t>Hình ảnh</t>
  </si>
  <si>
    <t>NBO</t>
  </si>
  <si>
    <t>KIOWAY</t>
  </si>
  <si>
    <t>NHẬT MINH</t>
  </si>
  <si>
    <t>SPA</t>
  </si>
  <si>
    <t>VIL</t>
  </si>
  <si>
    <t>Khách lẻ</t>
  </si>
  <si>
    <t>UNILO</t>
  </si>
  <si>
    <t>CÔNG TY CỔ PHẦN LOGISTICS ADVANT</t>
  </si>
  <si>
    <t>ADVANT</t>
  </si>
  <si>
    <t>CÔNG TY CỔ PHẦN ALS ĐÔNG HÀ NỘI</t>
  </si>
  <si>
    <t>CÔNG TY CỔ PHẦN LOGISTICS ASG</t>
  </si>
  <si>
    <t>CÔNG TY CỔ PHẦN DỊCH VỤ SÂN BAY SÀI GÒN</t>
  </si>
  <si>
    <t>CÔNG TY CỔ PHẦN TIẾP VẬN THẾ KỶ</t>
  </si>
  <si>
    <t>CÔNG TY CỔ PHẦN KIOWAY</t>
  </si>
  <si>
    <t>CÔNG TY TNHH THƯƠNG MẠI VÀ XÂY DỰNG NHẬT MINH HÀ NỘI</t>
  </si>
  <si>
    <t>CÔNG TY TNHH SAMSUNG SDS VIỆT NAM</t>
  </si>
  <si>
    <t>CHI NHÁNH CÔNG TY TNHH SAMSUNG SDS VIỆT NAM TẠI THÀNH PHỐ HỒ CHÍ MINH</t>
  </si>
  <si>
    <t>SDS HCM</t>
  </si>
  <si>
    <t>SDS HN</t>
  </si>
  <si>
    <t>CÔNG TY TNHH LOGISTICS HÀNH TINH BẦU TRỜI</t>
  </si>
  <si>
    <t>CÔNG TY TNHH MỘT THÀNH VIÊN DỊCH VỤ LOGISTICS HOÀN VŨ</t>
  </si>
  <si>
    <t>CÔNG TY CỔ PHẦN VIỆT INTERLINES</t>
  </si>
  <si>
    <t>Nhập tên thực tế</t>
  </si>
  <si>
    <t>Mã viết tắt nhà máy</t>
  </si>
  <si>
    <t>MÃ KHÁCH HÀNG</t>
  </si>
  <si>
    <t>TÊN ĐẦY ĐỦ</t>
  </si>
  <si>
    <t>VIETFRACHT</t>
  </si>
  <si>
    <t>KHO VIETFRACHT Hải Phòng</t>
  </si>
  <si>
    <t>Ngã 3 đường Đình Vũ, Phường Đông Hải, TP Hải Phòng</t>
  </si>
  <si>
    <t>ASGS (VFC)</t>
  </si>
  <si>
    <t>ASGS (SAFO)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</si>
</sst>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h:mm;@"/>
    <numFmt numFmtId="165" formatCode="hh:mm\ dd/mm/yy"/>
  </numFmts>
  <fonts count="13" x14ac:knownFonts="1">
    <font>
      <sz val="11"/>
      <color theme="1"/>
      <name val="Calibri"/>
      <family val="2"/>
      <scheme val="minor"/>
    </font>
    <font>
      <b/>
      <sz val="11"/>
      <color theme="1"/>
      <name val="Calibri"/>
      <family val="2"/>
      <scheme val="minor"/>
    </font>
    <font>
      <sz val="11"/>
      <color rgb="FFFF0000"/>
      <name val="Calibri"/>
      <family val="2"/>
      <scheme val="minor"/>
    </font>
    <font>
      <sz val="11"/>
      <name val="Times New Roman"/>
      <family val="1"/>
    </font>
    <font>
      <sz val="11"/>
      <color theme="1"/>
      <name val="Times New Roman"/>
      <family val="1"/>
    </font>
    <font>
      <b/>
      <sz val="11"/>
      <name val="Times New Roman"/>
      <family val="1"/>
    </font>
    <font>
      <sz val="11"/>
      <name val="Calibri"/>
      <family val="2"/>
      <scheme val="minor"/>
    </font>
    <font>
      <b/>
      <sz val="11"/>
      <color theme="1"/>
      <name val="Times New Roman"/>
      <family val="1"/>
    </font>
    <font>
      <sz val="11"/>
      <color rgb="FF1F1F1F"/>
      <name val="Times New Roman"/>
      <family val="1"/>
    </font>
    <font>
      <sz val="11"/>
      <color rgb="FF474747"/>
      <name val="Times New Roman"/>
      <family val="1"/>
    </font>
    <font>
      <b/>
      <sz val="14"/>
      <color theme="1"/>
      <name val="Times New Roman"/>
      <family val="1"/>
    </font>
    <font>
      <b/>
      <sz val="12"/>
      <color theme="1"/>
      <name val="Times New Roman"/>
      <family val="1"/>
    </font>
    <font>
      <b/>
      <sz val="11"/>
      <color rgb="FFFF0000"/>
      <name val="Times New Roman"/>
      <family val="1"/>
    </font>
  </fonts>
  <fills count="8">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top/>
      <bottom/>
      <diagonal/>
    </border>
  </borders>
  <cellStyleXfs count="1">
    <xf numFmtId="0" fontId="0" fillId="0" borderId="0"/>
  </cellStyleXfs>
  <cellXfs count="128">
    <xf numFmtId="0" fontId="0" fillId="0" borderId="0" xfId="0"/>
    <xf numFmtId="0" fontId="0" fillId="0" borderId="1" xfId="0" applyBorder="1" applyAlignment="1">
      <alignment vertical="center"/>
    </xf>
    <xf numFmtId="0" fontId="0" fillId="0" borderId="3" xfId="0" applyBorder="1" applyAlignment="1">
      <alignment vertical="center" wrapText="1"/>
    </xf>
    <xf numFmtId="0" fontId="0" fillId="0" borderId="1" xfId="0" applyBorder="1" applyAlignment="1">
      <alignment vertical="center" wrapText="1"/>
    </xf>
    <xf numFmtId="0" fontId="0" fillId="0" borderId="0" xfId="0" applyAlignment="1">
      <alignment horizontal="center" vertical="center" wrapText="1"/>
    </xf>
    <xf numFmtId="0" fontId="3" fillId="0" borderId="1" xfId="0" applyFont="1" applyBorder="1" applyAlignment="1">
      <alignment horizontal="center" vertical="center" wrapText="1"/>
    </xf>
    <xf numFmtId="0" fontId="0" fillId="0" borderId="1" xfId="0" applyBorder="1"/>
    <xf numFmtId="16" fontId="4" fillId="0" borderId="1" xfId="0" applyNumberFormat="1"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left" vertical="center" wrapText="1"/>
    </xf>
    <xf numFmtId="20" fontId="4" fillId="0" borderId="1" xfId="0" applyNumberFormat="1" applyFont="1" applyBorder="1" applyAlignment="1">
      <alignment horizontal="center" vertical="center"/>
    </xf>
    <xf numFmtId="0" fontId="4" fillId="0" borderId="1" xfId="0" applyFont="1" applyBorder="1"/>
    <xf numFmtId="0" fontId="4" fillId="0" borderId="1" xfId="0" applyFont="1" applyBorder="1" applyAlignment="1">
      <alignment horizontal="center" vertical="center" wrapText="1"/>
    </xf>
    <xf numFmtId="20" fontId="4" fillId="0" borderId="1" xfId="0" applyNumberFormat="1" applyFont="1" applyBorder="1" applyAlignment="1">
      <alignment horizontal="center" vertical="center" wrapText="1"/>
    </xf>
    <xf numFmtId="0" fontId="4" fillId="0" borderId="0" xfId="0" applyFont="1"/>
    <xf numFmtId="0" fontId="4" fillId="0" borderId="0" xfId="0" applyFont="1" applyAlignment="1">
      <alignment horizontal="center" vertical="center" wrapText="1"/>
    </xf>
    <xf numFmtId="3" fontId="4" fillId="0" borderId="0" xfId="0" applyNumberFormat="1" applyFont="1"/>
    <xf numFmtId="0" fontId="3" fillId="0" borderId="0" xfId="0" applyFont="1"/>
    <xf numFmtId="0" fontId="2" fillId="0" borderId="0" xfId="0" applyFont="1" applyAlignment="1">
      <alignment vertical="center"/>
    </xf>
    <xf numFmtId="1" fontId="4" fillId="0" borderId="0" xfId="0" applyNumberFormat="1" applyFont="1"/>
    <xf numFmtId="0" fontId="7"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1" fontId="5" fillId="2" borderId="2" xfId="0" applyNumberFormat="1" applyFont="1" applyFill="1" applyBorder="1" applyAlignment="1">
      <alignment horizontal="center" vertical="center" wrapText="1"/>
    </xf>
    <xf numFmtId="0" fontId="5" fillId="2" borderId="2" xfId="0" applyFont="1" applyFill="1" applyBorder="1" applyAlignment="1">
      <alignment horizontal="left" vertical="center" wrapText="1"/>
    </xf>
    <xf numFmtId="1" fontId="5" fillId="2" borderId="2" xfId="0" applyNumberFormat="1" applyFont="1" applyFill="1" applyBorder="1" applyAlignment="1">
      <alignment vertical="center" wrapText="1"/>
    </xf>
    <xf numFmtId="16" fontId="4" fillId="0" borderId="1" xfId="0" applyNumberFormat="1" applyFont="1" applyBorder="1"/>
    <xf numFmtId="164" fontId="3" fillId="0" borderId="1" xfId="0" applyNumberFormat="1" applyFont="1" applyBorder="1"/>
    <xf numFmtId="20" fontId="3" fillId="0" borderId="1" xfId="0" applyNumberFormat="1" applyFont="1" applyBorder="1"/>
    <xf numFmtId="0" fontId="3" fillId="0" borderId="1" xfId="0" applyFont="1" applyBorder="1"/>
    <xf numFmtId="0" fontId="6" fillId="0" borderId="1" xfId="0" applyFont="1" applyBorder="1" applyAlignment="1">
      <alignment vertical="center"/>
    </xf>
    <xf numFmtId="1" fontId="3" fillId="0" borderId="1" xfId="0" applyNumberFormat="1" applyFont="1" applyBorder="1"/>
    <xf numFmtId="3" fontId="4" fillId="0" borderId="1" xfId="0" applyNumberFormat="1" applyFont="1" applyBorder="1"/>
    <xf numFmtId="1" fontId="4" fillId="0" borderId="1" xfId="0" applyNumberFormat="1" applyFont="1" applyBorder="1"/>
    <xf numFmtId="0" fontId="0" fillId="0" borderId="1" xfId="0" applyBorder="1" applyAlignment="1">
      <alignment horizontal="center" vertical="center"/>
    </xf>
    <xf numFmtId="0" fontId="0" fillId="0" borderId="0" xfId="0" applyAlignment="1">
      <alignment horizontal="center"/>
    </xf>
    <xf numFmtId="0" fontId="0" fillId="0" borderId="0" xfId="0" applyAlignment="1">
      <alignment wrapText="1"/>
    </xf>
    <xf numFmtId="16" fontId="0" fillId="0" borderId="1" xfId="0" applyNumberFormat="1" applyBorder="1" applyAlignment="1">
      <alignment vertical="center"/>
    </xf>
    <xf numFmtId="20" fontId="0" fillId="0" borderId="1" xfId="0" applyNumberFormat="1" applyBorder="1" applyAlignment="1">
      <alignment vertical="center"/>
    </xf>
    <xf numFmtId="0" fontId="1" fillId="2" borderId="1" xfId="0" applyFont="1" applyFill="1" applyBorder="1" applyAlignment="1">
      <alignment horizontal="center" vertical="center" wrapText="1"/>
    </xf>
    <xf numFmtId="16" fontId="0" fillId="0" borderId="3" xfId="0" applyNumberFormat="1" applyBorder="1" applyAlignment="1">
      <alignment vertical="center"/>
    </xf>
    <xf numFmtId="0" fontId="0" fillId="0" borderId="3" xfId="0" applyBorder="1" applyAlignment="1">
      <alignment vertical="center"/>
    </xf>
    <xf numFmtId="20" fontId="0" fillId="0" borderId="3" xfId="0" applyNumberFormat="1" applyBorder="1" applyAlignment="1">
      <alignment vertical="center"/>
    </xf>
    <xf numFmtId="0" fontId="0" fillId="0" borderId="3" xfId="0" applyBorder="1"/>
    <xf numFmtId="0" fontId="5" fillId="2" borderId="1" xfId="0" applyFont="1" applyFill="1" applyBorder="1" applyAlignment="1">
      <alignment horizontal="left" vertical="center" wrapText="1"/>
    </xf>
    <xf numFmtId="1" fontId="5" fillId="2" borderId="1" xfId="0" applyNumberFormat="1" applyFont="1" applyFill="1" applyBorder="1" applyAlignment="1">
      <alignment vertical="center" wrapText="1"/>
    </xf>
    <xf numFmtId="0" fontId="0" fillId="0" borderId="0" xfId="0" applyAlignment="1">
      <alignment horizontal="center" wrapText="1"/>
    </xf>
    <xf numFmtId="0" fontId="4" fillId="0" borderId="1" xfId="0" applyFont="1" applyBorder="1" applyAlignment="1">
      <alignment vertical="center"/>
    </xf>
    <xf numFmtId="3" fontId="4" fillId="0" borderId="1" xfId="0" applyNumberFormat="1" applyFont="1" applyBorder="1" applyAlignment="1">
      <alignment vertical="center"/>
    </xf>
    <xf numFmtId="1" fontId="4" fillId="0" borderId="1" xfId="0" applyNumberFormat="1" applyFont="1" applyBorder="1" applyAlignment="1">
      <alignment vertical="center"/>
    </xf>
    <xf numFmtId="3" fontId="0" fillId="0" borderId="1" xfId="0" applyNumberFormat="1" applyBorder="1" applyAlignment="1">
      <alignment vertical="center"/>
    </xf>
    <xf numFmtId="1" fontId="0" fillId="0" borderId="1" xfId="0" applyNumberFormat="1" applyBorder="1" applyAlignment="1">
      <alignment vertical="center"/>
    </xf>
    <xf numFmtId="3" fontId="0" fillId="0" borderId="1" xfId="0" applyNumberFormat="1" applyBorder="1" applyAlignment="1">
      <alignment horizontal="center" vertical="center"/>
    </xf>
    <xf numFmtId="1" fontId="0" fillId="0" borderId="1" xfId="0" applyNumberFormat="1" applyBorder="1" applyAlignment="1">
      <alignment horizontal="center" vertical="center"/>
    </xf>
    <xf numFmtId="0" fontId="4" fillId="0" borderId="1" xfId="0" applyFont="1" applyBorder="1" applyAlignment="1">
      <alignment wrapText="1"/>
    </xf>
    <xf numFmtId="0" fontId="8" fillId="0" borderId="1" xfId="0" applyFont="1" applyBorder="1"/>
    <xf numFmtId="0" fontId="8" fillId="0" borderId="1" xfId="0" applyFont="1" applyBorder="1" applyAlignment="1">
      <alignment horizontal="center" vertical="center"/>
    </xf>
    <xf numFmtId="0" fontId="4" fillId="0" borderId="0" xfId="0" applyFont="1" applyAlignment="1">
      <alignment vertical="center"/>
    </xf>
    <xf numFmtId="0" fontId="4" fillId="0" borderId="0" xfId="0" applyFont="1" applyAlignment="1">
      <alignment horizontal="center" vertical="center"/>
    </xf>
    <xf numFmtId="0" fontId="8" fillId="0" borderId="1" xfId="0" applyFont="1" applyBorder="1" applyAlignment="1">
      <alignment horizontal="left" vertical="center"/>
    </xf>
    <xf numFmtId="0" fontId="10" fillId="2" borderId="1" xfId="0" applyFont="1" applyFill="1" applyBorder="1" applyAlignment="1">
      <alignment vertical="center"/>
    </xf>
    <xf numFmtId="0" fontId="10" fillId="2" borderId="1" xfId="0" applyFont="1" applyFill="1" applyBorder="1" applyAlignment="1">
      <alignment horizontal="center" vertical="center"/>
    </xf>
    <xf numFmtId="0" fontId="1" fillId="2" borderId="4" xfId="0" applyFont="1" applyFill="1" applyBorder="1"/>
    <xf numFmtId="16" fontId="0" fillId="0" borderId="0" xfId="0" applyNumberFormat="1" applyAlignment="1">
      <alignment vertical="center"/>
    </xf>
    <xf numFmtId="3" fontId="0" fillId="0" borderId="0" xfId="0" applyNumberFormat="1" applyAlignment="1">
      <alignment vertical="center"/>
    </xf>
    <xf numFmtId="1" fontId="0" fillId="0" borderId="0" xfId="0" applyNumberFormat="1" applyAlignment="1">
      <alignment vertical="center"/>
    </xf>
    <xf numFmtId="16" fontId="4" fillId="0" borderId="0" xfId="0" applyNumberFormat="1" applyFont="1"/>
    <xf numFmtId="1" fontId="3" fillId="0" borderId="0" xfId="0" applyNumberFormat="1" applyFont="1"/>
    <xf numFmtId="0" fontId="3" fillId="0" borderId="1" xfId="0" applyFont="1" applyBorder="1" applyAlignment="1">
      <alignment vertical="center"/>
    </xf>
    <xf numFmtId="0" fontId="0" fillId="0" borderId="0" xfId="0" applyAlignment="1">
      <alignment vertical="center"/>
    </xf>
    <xf numFmtId="0" fontId="6" fillId="0" borderId="1" xfId="0" applyFont="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0" fillId="0" borderId="0" xfId="0" applyAlignment="1">
      <alignment horizontal="center" vertical="center"/>
    </xf>
    <xf numFmtId="1" fontId="0" fillId="0" borderId="1" xfId="0" applyNumberFormat="1" applyBorder="1"/>
    <xf numFmtId="0" fontId="0" fillId="4" borderId="0" xfId="0" applyFill="1"/>
    <xf numFmtId="164" fontId="0" fillId="0" borderId="1" xfId="0" applyNumberFormat="1" applyBorder="1" applyAlignment="1">
      <alignment vertical="center"/>
    </xf>
    <xf numFmtId="16" fontId="4" fillId="0" borderId="1" xfId="0" applyNumberFormat="1" applyFont="1" applyBorder="1" applyAlignment="1">
      <alignment vertical="center"/>
    </xf>
    <xf numFmtId="1" fontId="3" fillId="0" borderId="1" xfId="0" applyNumberFormat="1" applyFont="1" applyBorder="1" applyAlignment="1">
      <alignment vertical="center"/>
    </xf>
    <xf numFmtId="0" fontId="10" fillId="2" borderId="1" xfId="0" applyFont="1" applyFill="1" applyBorder="1" applyAlignment="1">
      <alignment vertical="center" wrapText="1"/>
    </xf>
    <xf numFmtId="0" fontId="4" fillId="0" borderId="1" xfId="0" applyFont="1" applyBorder="1" applyAlignment="1">
      <alignment horizontal="center"/>
    </xf>
    <xf numFmtId="0" fontId="4" fillId="0" borderId="0" xfId="0" applyFont="1" applyAlignment="1">
      <alignment horizontal="center"/>
    </xf>
    <xf numFmtId="0" fontId="5" fillId="2" borderId="1" xfId="0" applyFont="1" applyFill="1" applyBorder="1" applyAlignment="1">
      <alignment horizontal="center" vertical="center" wrapText="1"/>
    </xf>
    <xf numFmtId="1" fontId="5" fillId="2" borderId="1" xfId="0" applyNumberFormat="1" applyFont="1" applyFill="1" applyBorder="1" applyAlignment="1">
      <alignment horizontal="center" vertical="center" wrapText="1"/>
    </xf>
    <xf numFmtId="0" fontId="0" fillId="0" borderId="3" xfId="0" applyBorder="1" applyAlignment="1">
      <alignment horizontal="center" vertical="center"/>
    </xf>
    <xf numFmtId="0" fontId="0" fillId="0" borderId="1" xfId="0" applyBorder="1" applyAlignment="1">
      <alignment wrapText="1"/>
    </xf>
    <xf numFmtId="16" fontId="0" fillId="0" borderId="6" xfId="0" applyNumberFormat="1" applyBorder="1" applyAlignment="1">
      <alignment vertical="center"/>
    </xf>
    <xf numFmtId="0" fontId="0" fillId="0" borderId="6" xfId="0" applyBorder="1" applyAlignment="1">
      <alignment vertical="center"/>
    </xf>
    <xf numFmtId="0" fontId="0" fillId="0" borderId="6" xfId="0" applyBorder="1" applyAlignment="1">
      <alignment vertical="center" wrapText="1"/>
    </xf>
    <xf numFmtId="3" fontId="0" fillId="0" borderId="3" xfId="0" applyNumberFormat="1" applyBorder="1" applyAlignment="1">
      <alignment vertical="center"/>
    </xf>
    <xf numFmtId="1" fontId="0" fillId="0" borderId="3" xfId="0" applyNumberFormat="1" applyBorder="1" applyAlignment="1">
      <alignment vertical="center"/>
    </xf>
    <xf numFmtId="1" fontId="0" fillId="0" borderId="3" xfId="0" applyNumberFormat="1" applyBorder="1"/>
    <xf numFmtId="1" fontId="12" fillId="3" borderId="7" xfId="0" applyNumberFormat="1" applyFont="1" applyFill="1" applyBorder="1" applyAlignment="1">
      <alignment horizontal="center" vertical="center" wrapText="1"/>
    </xf>
    <xf numFmtId="0" fontId="5" fillId="6"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1" fontId="5" fillId="6" borderId="1" xfId="0" applyNumberFormat="1" applyFont="1" applyFill="1" applyBorder="1" applyAlignment="1">
      <alignment horizontal="center" vertical="center" wrapText="1"/>
    </xf>
    <xf numFmtId="0" fontId="5" fillId="6" borderId="1" xfId="0" applyFont="1" applyFill="1" applyBorder="1" applyAlignment="1">
      <alignment horizontal="left" vertical="center" wrapText="1"/>
    </xf>
    <xf numFmtId="1" fontId="5" fillId="6" borderId="1" xfId="0" applyNumberFormat="1" applyFont="1" applyFill="1" applyBorder="1" applyAlignment="1">
      <alignment vertical="center" wrapText="1"/>
    </xf>
    <xf numFmtId="165" fontId="3" fillId="0" borderId="1" xfId="0" applyNumberFormat="1" applyFont="1" applyBorder="1" applyAlignment="1">
      <alignment vertical="center"/>
    </xf>
    <xf numFmtId="165" fontId="3" fillId="0" borderId="0" xfId="0" applyNumberFormat="1" applyFont="1"/>
    <xf numFmtId="165" fontId="0" fillId="0" borderId="3" xfId="0" applyNumberFormat="1" applyBorder="1" applyAlignment="1">
      <alignment vertical="center"/>
    </xf>
    <xf numFmtId="165" fontId="0" fillId="0" borderId="1" xfId="0" applyNumberFormat="1" applyBorder="1" applyAlignment="1">
      <alignment vertical="center"/>
    </xf>
    <xf numFmtId="165" fontId="0" fillId="0" borderId="6" xfId="0" applyNumberFormat="1" applyBorder="1" applyAlignment="1">
      <alignment vertical="center"/>
    </xf>
    <xf numFmtId="165" fontId="0" fillId="0" borderId="0" xfId="0" applyNumberFormat="1"/>
    <xf numFmtId="165" fontId="0" fillId="0" borderId="0" xfId="0" applyNumberFormat="1" applyAlignment="1">
      <alignment vertical="center"/>
    </xf>
    <xf numFmtId="0" fontId="4" fillId="0" borderId="1" xfId="0" applyFont="1" applyBorder="1" applyAlignment="1">
      <alignment horizontal="left" vertical="center"/>
    </xf>
    <xf numFmtId="0" fontId="4" fillId="0" borderId="1" xfId="0" applyFont="1" applyBorder="1" applyAlignment="1">
      <alignment horizontal="left"/>
    </xf>
    <xf numFmtId="16" fontId="4" fillId="0" borderId="1" xfId="0" applyNumberFormat="1" applyFont="1" applyBorder="1" applyAlignment="1">
      <alignment horizontal="left"/>
    </xf>
    <xf numFmtId="0" fontId="7" fillId="2" borderId="1" xfId="0" applyFont="1" applyFill="1" applyBorder="1" applyAlignment="1">
      <alignment horizontal="center" vertical="center"/>
    </xf>
    <xf numFmtId="0" fontId="10" fillId="2" borderId="1" xfId="0" applyFont="1" applyFill="1" applyBorder="1" applyAlignment="1">
      <alignment horizontal="center" vertical="center" wrapText="1"/>
    </xf>
    <xf numFmtId="0" fontId="4" fillId="3" borderId="1" xfId="0" applyFont="1" applyFill="1" applyBorder="1"/>
    <xf numFmtId="0" fontId="4" fillId="3" borderId="1" xfId="0" applyFont="1" applyFill="1" applyBorder="1" applyAlignment="1">
      <alignment horizontal="center"/>
    </xf>
    <xf numFmtId="0" fontId="8" fillId="3" borderId="1" xfId="0" applyFont="1" applyFill="1" applyBorder="1"/>
    <xf numFmtId="0" fontId="4" fillId="3" borderId="0" xfId="0" applyFont="1" applyFill="1"/>
    <xf numFmtId="0" fontId="1" fillId="2" borderId="4" xfId="0" applyFont="1" applyFill="1" applyBorder="1" applyAlignment="1">
      <alignment horizontal="center"/>
    </xf>
    <xf numFmtId="0" fontId="1" fillId="2" borderId="1" xfId="0" applyFont="1" applyFill="1" applyBorder="1" applyAlignment="1">
      <alignment horizontal="center" vertical="center" wrapText="1"/>
    </xf>
    <xf numFmtId="0" fontId="2" fillId="0" borderId="7" xfId="0" quotePrefix="1" applyFont="1" applyBorder="1" applyAlignment="1">
      <alignment horizontal="left" vertical="center" wrapText="1"/>
    </xf>
    <xf numFmtId="0" fontId="2" fillId="0" borderId="7" xfId="0" applyFont="1" applyBorder="1" applyAlignment="1">
      <alignment horizontal="left" vertical="center" wrapText="1"/>
    </xf>
    <xf numFmtId="0" fontId="2" fillId="0" borderId="1" xfId="0" quotePrefix="1" applyFont="1" applyBorder="1" applyAlignment="1">
      <alignment horizontal="left" vertical="center" wrapText="1"/>
    </xf>
    <xf numFmtId="0" fontId="2" fillId="0" borderId="1" xfId="0" applyFont="1" applyBorder="1" applyAlignment="1">
      <alignment horizontal="left" vertical="center" wrapText="1"/>
    </xf>
    <xf numFmtId="0" fontId="2" fillId="0" borderId="0" xfId="0" quotePrefix="1" applyFont="1" applyAlignment="1">
      <alignment horizontal="left" vertical="center" wrapText="1"/>
    </xf>
    <xf numFmtId="0" fontId="2" fillId="0" borderId="0" xfId="0" applyFont="1" applyAlignment="1">
      <alignment horizontal="left" vertical="center" wrapText="1"/>
    </xf>
    <xf numFmtId="0" fontId="11" fillId="7" borderId="0" xfId="0" applyFont="1" applyFill="1" applyAlignment="1">
      <alignment horizontal="center"/>
    </xf>
    <xf numFmtId="0" fontId="11" fillId="2" borderId="1" xfId="0" applyFont="1" applyFill="1" applyBorder="1" applyAlignment="1">
      <alignment horizontal="center"/>
    </xf>
    <xf numFmtId="0" fontId="11" fillId="6" borderId="1" xfId="0" applyFont="1" applyFill="1" applyBorder="1" applyAlignment="1">
      <alignment horizontal="center"/>
    </xf>
    <xf numFmtId="0" fontId="7" fillId="6" borderId="1" xfId="0" applyFont="1" applyFill="1" applyBorder="1" applyAlignment="1">
      <alignment horizontal="center" vertical="center"/>
    </xf>
    <xf numFmtId="0" fontId="7" fillId="5" borderId="1" xfId="0" applyFont="1" applyFill="1" applyBorder="1" applyAlignment="1">
      <alignment horizontal="center" vertical="center"/>
    </xf>
    <xf numFmtId="0" fontId="7" fillId="2" borderId="5" xfId="0" applyFont="1" applyFill="1" applyBorder="1" applyAlignment="1">
      <alignment horizontal="center" vertical="center" wrapText="1"/>
    </xf>
    <xf numFmtId="0" fontId="7" fillId="2"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76E3FF"/>
      <color rgb="FF005E00"/>
      <color rgb="FFA20000"/>
      <color rgb="FFA66500"/>
      <color rgb="FF4F4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23</xdr:col>
      <xdr:colOff>30412</xdr:colOff>
      <xdr:row>5</xdr:row>
      <xdr:rowOff>107379</xdr:rowOff>
    </xdr:from>
    <xdr:to>
      <xdr:col>23</xdr:col>
      <xdr:colOff>1020191</xdr:colOff>
      <xdr:row>6</xdr:row>
      <xdr:rowOff>267912</xdr:rowOff>
    </xdr:to>
    <xdr:sp macro="" textlink="">
      <xdr:nvSpPr>
        <xdr:cNvPr id="2" name="Right Arrow 1">
          <a:extLst>
            <a:ext uri="{FF2B5EF4-FFF2-40B4-BE49-F238E27FC236}">
              <a16:creationId xmlns:a16="http://schemas.microsoft.com/office/drawing/2014/main" id="{00000000-0008-0000-0100-000002000000}"/>
            </a:ext>
          </a:extLst>
        </xdr:cNvPr>
        <xdr:cNvSpPr/>
      </xdr:nvSpPr>
      <xdr:spPr>
        <a:xfrm>
          <a:off x="19231225" y="1750442"/>
          <a:ext cx="989779" cy="525658"/>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23812</xdr:colOff>
      <xdr:row>12</xdr:row>
      <xdr:rowOff>336139</xdr:rowOff>
    </xdr:from>
    <xdr:to>
      <xdr:col>23</xdr:col>
      <xdr:colOff>1265896</xdr:colOff>
      <xdr:row>13</xdr:row>
      <xdr:rowOff>133064</xdr:rowOff>
    </xdr:to>
    <xdr:sp macro="" textlink="">
      <xdr:nvSpPr>
        <xdr:cNvPr id="3" name="Right Arrow 2">
          <a:extLst>
            <a:ext uri="{FF2B5EF4-FFF2-40B4-BE49-F238E27FC236}">
              <a16:creationId xmlns:a16="http://schemas.microsoft.com/office/drawing/2014/main" id="{00000000-0008-0000-0100-000003000000}"/>
            </a:ext>
          </a:extLst>
        </xdr:cNvPr>
        <xdr:cNvSpPr/>
      </xdr:nvSpPr>
      <xdr:spPr>
        <a:xfrm>
          <a:off x="19224625" y="4535077"/>
          <a:ext cx="1242084" cy="535112"/>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80089</xdr:colOff>
      <xdr:row>18</xdr:row>
      <xdr:rowOff>20155</xdr:rowOff>
    </xdr:from>
    <xdr:to>
      <xdr:col>23</xdr:col>
      <xdr:colOff>1069868</xdr:colOff>
      <xdr:row>19</xdr:row>
      <xdr:rowOff>73667</xdr:rowOff>
    </xdr:to>
    <xdr:sp macro="" textlink="">
      <xdr:nvSpPr>
        <xdr:cNvPr id="4" name="Right Arrow 3">
          <a:extLst>
            <a:ext uri="{FF2B5EF4-FFF2-40B4-BE49-F238E27FC236}">
              <a16:creationId xmlns:a16="http://schemas.microsoft.com/office/drawing/2014/main" id="{00000000-0008-0000-0100-000004000000}"/>
            </a:ext>
          </a:extLst>
        </xdr:cNvPr>
        <xdr:cNvSpPr/>
      </xdr:nvSpPr>
      <xdr:spPr>
        <a:xfrm>
          <a:off x="19280902" y="7092468"/>
          <a:ext cx="989779" cy="537699"/>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V55"/>
  <sheetViews>
    <sheetView workbookViewId="0">
      <selection activeCell="A55" sqref="A55"/>
    </sheetView>
  </sheetViews>
  <sheetFormatPr defaultRowHeight="15" x14ac:dyDescent="0.25"/>
  <cols>
    <col min="2" max="2" width="10.28515625" customWidth="1"/>
    <col min="4" max="4" width="15.85546875" customWidth="1"/>
    <col min="5" max="5" width="29.28515625" customWidth="1"/>
    <col min="6" max="6" width="23.7109375" customWidth="1"/>
    <col min="14" max="14" width="18.5703125" customWidth="1"/>
    <col min="15" max="15" width="17.85546875" customWidth="1"/>
    <col min="16" max="16" width="10.7109375" customWidth="1"/>
    <col min="17" max="17" width="21.5703125" customWidth="1"/>
    <col min="20" max="20" width="10.42578125" customWidth="1"/>
    <col min="22" max="22" width="12" customWidth="1"/>
  </cols>
  <sheetData>
    <row r="2" spans="2:22" x14ac:dyDescent="0.25">
      <c r="B2" s="61" t="s">
        <v>63</v>
      </c>
      <c r="C2" s="61"/>
      <c r="D2" s="61"/>
      <c r="E2" s="61"/>
      <c r="F2" s="61"/>
      <c r="G2" s="61"/>
      <c r="H2" s="61"/>
      <c r="I2" s="61"/>
      <c r="J2" s="61"/>
      <c r="K2" s="61"/>
      <c r="L2" s="61"/>
      <c r="M2" s="61"/>
      <c r="N2" s="61"/>
      <c r="O2" s="61"/>
      <c r="P2" s="61"/>
      <c r="Q2" s="61"/>
      <c r="R2" s="61"/>
      <c r="S2" s="61"/>
      <c r="T2" s="61"/>
    </row>
    <row r="3" spans="2:22" ht="42.75" x14ac:dyDescent="0.25">
      <c r="B3" s="21" t="s">
        <v>799</v>
      </c>
      <c r="C3" s="21" t="s">
        <v>38</v>
      </c>
      <c r="D3" s="21" t="s">
        <v>7</v>
      </c>
      <c r="E3" s="38" t="s">
        <v>9</v>
      </c>
      <c r="F3" s="38" t="s">
        <v>10</v>
      </c>
      <c r="G3" s="21" t="s">
        <v>39</v>
      </c>
      <c r="H3" s="21" t="s">
        <v>40</v>
      </c>
      <c r="I3" s="21" t="s">
        <v>41</v>
      </c>
      <c r="J3" s="21" t="s">
        <v>42</v>
      </c>
      <c r="K3" s="22" t="s">
        <v>60</v>
      </c>
      <c r="L3" s="22" t="s">
        <v>55</v>
      </c>
      <c r="M3" s="22" t="s">
        <v>2</v>
      </c>
      <c r="N3" s="21" t="s">
        <v>53</v>
      </c>
      <c r="O3" s="21" t="s">
        <v>0</v>
      </c>
      <c r="P3" s="23" t="s">
        <v>3</v>
      </c>
      <c r="Q3" s="24" t="s">
        <v>56</v>
      </c>
      <c r="R3" s="24" t="s">
        <v>57</v>
      </c>
      <c r="S3" s="24" t="s">
        <v>61</v>
      </c>
      <c r="T3" s="24" t="s">
        <v>62</v>
      </c>
    </row>
    <row r="4" spans="2:22" x14ac:dyDescent="0.25">
      <c r="B4" s="25" t="s">
        <v>800</v>
      </c>
      <c r="C4" s="25">
        <v>46132</v>
      </c>
      <c r="D4" s="11" t="s">
        <v>43</v>
      </c>
      <c r="E4" s="11" t="s">
        <v>93</v>
      </c>
      <c r="F4" s="6" t="s">
        <v>28</v>
      </c>
      <c r="G4" s="26">
        <v>0.34722222222222221</v>
      </c>
      <c r="H4" s="27">
        <v>0.375</v>
      </c>
      <c r="I4" s="27">
        <v>0.38194444444444442</v>
      </c>
      <c r="J4" s="27">
        <v>0.39583333333333331</v>
      </c>
      <c r="K4" s="28" t="s">
        <v>50</v>
      </c>
      <c r="L4" s="29"/>
      <c r="M4" s="29"/>
      <c r="N4" s="28" t="s">
        <v>28</v>
      </c>
      <c r="O4" s="30" t="s">
        <v>52</v>
      </c>
      <c r="P4" s="11" t="s">
        <v>58</v>
      </c>
      <c r="Q4" s="11">
        <v>419064</v>
      </c>
      <c r="R4" s="11">
        <v>419067</v>
      </c>
      <c r="S4" s="6"/>
      <c r="T4" s="6"/>
    </row>
    <row r="5" spans="2:22" x14ac:dyDescent="0.25">
      <c r="B5" s="25" t="s">
        <v>800</v>
      </c>
      <c r="C5" s="25">
        <v>46132</v>
      </c>
      <c r="D5" s="31" t="s">
        <v>43</v>
      </c>
      <c r="E5" s="31" t="s">
        <v>28</v>
      </c>
      <c r="F5" s="6" t="s">
        <v>93</v>
      </c>
      <c r="G5" s="26"/>
      <c r="H5" s="27">
        <v>0.39583333333333331</v>
      </c>
      <c r="I5" s="26">
        <v>0.39930555555555552</v>
      </c>
      <c r="J5" s="26"/>
      <c r="K5" s="28" t="s">
        <v>51</v>
      </c>
      <c r="L5" s="29"/>
      <c r="M5" s="29"/>
      <c r="N5" s="28" t="s">
        <v>50</v>
      </c>
      <c r="O5" s="30"/>
      <c r="P5" s="31" t="s">
        <v>59</v>
      </c>
      <c r="Q5" s="32">
        <v>419067</v>
      </c>
      <c r="R5" s="32">
        <v>419070</v>
      </c>
      <c r="S5" s="6"/>
      <c r="T5" s="6"/>
    </row>
    <row r="6" spans="2:22" x14ac:dyDescent="0.25">
      <c r="B6" s="25" t="s">
        <v>800</v>
      </c>
      <c r="C6" s="25">
        <v>46132</v>
      </c>
      <c r="D6" s="11" t="s">
        <v>43</v>
      </c>
      <c r="E6" s="11" t="s">
        <v>93</v>
      </c>
      <c r="F6" s="6" t="s">
        <v>54</v>
      </c>
      <c r="G6" s="26">
        <v>0.4201388888888889</v>
      </c>
      <c r="H6" s="27">
        <v>0.46875</v>
      </c>
      <c r="I6" s="27">
        <v>0.47569444444444442</v>
      </c>
      <c r="J6" s="27">
        <v>0.55555555555555558</v>
      </c>
      <c r="K6" s="28" t="s">
        <v>50</v>
      </c>
      <c r="L6" s="29"/>
      <c r="M6" s="29"/>
      <c r="N6" s="28" t="s">
        <v>54</v>
      </c>
      <c r="O6" s="30" t="s">
        <v>52</v>
      </c>
      <c r="P6" s="11" t="s">
        <v>58</v>
      </c>
      <c r="Q6" s="11">
        <v>419070</v>
      </c>
      <c r="R6" s="11">
        <v>419073</v>
      </c>
      <c r="S6" s="6"/>
      <c r="T6" s="6"/>
    </row>
    <row r="7" spans="2:22" x14ac:dyDescent="0.25">
      <c r="B7" s="25" t="s">
        <v>800</v>
      </c>
      <c r="C7" s="25">
        <v>46132</v>
      </c>
      <c r="D7" s="31" t="s">
        <v>43</v>
      </c>
      <c r="E7" s="31" t="s">
        <v>54</v>
      </c>
      <c r="F7" s="6" t="s">
        <v>93</v>
      </c>
      <c r="G7" s="26"/>
      <c r="H7" s="26">
        <v>0.55555555555555558</v>
      </c>
      <c r="I7" s="26">
        <v>0.55902777777777779</v>
      </c>
      <c r="J7" s="26"/>
      <c r="K7" s="28" t="s">
        <v>51</v>
      </c>
      <c r="L7" s="29"/>
      <c r="M7" s="29"/>
      <c r="N7" s="28" t="s">
        <v>50</v>
      </c>
      <c r="O7" s="30"/>
      <c r="P7" s="31" t="s">
        <v>59</v>
      </c>
      <c r="Q7" s="32">
        <v>419073</v>
      </c>
      <c r="R7" s="32">
        <v>419076</v>
      </c>
      <c r="S7" s="6"/>
      <c r="T7" s="6"/>
    </row>
    <row r="8" spans="2:22" x14ac:dyDescent="0.25">
      <c r="B8" s="25" t="s">
        <v>800</v>
      </c>
      <c r="C8" s="25">
        <v>46132</v>
      </c>
      <c r="D8" s="11" t="s">
        <v>43</v>
      </c>
      <c r="E8" s="11" t="s">
        <v>93</v>
      </c>
      <c r="F8" s="6" t="s">
        <v>54</v>
      </c>
      <c r="G8" s="26">
        <v>0.5625</v>
      </c>
      <c r="H8" s="27">
        <v>0.57291666666666663</v>
      </c>
      <c r="I8" s="27">
        <v>0.57986111111111116</v>
      </c>
      <c r="J8" s="27">
        <v>0.61111111111111116</v>
      </c>
      <c r="K8" s="28" t="s">
        <v>50</v>
      </c>
      <c r="L8" s="28"/>
      <c r="M8" s="28"/>
      <c r="N8" s="28" t="s">
        <v>54</v>
      </c>
      <c r="O8" s="30" t="s">
        <v>52</v>
      </c>
      <c r="P8" s="11" t="s">
        <v>58</v>
      </c>
      <c r="Q8" s="11">
        <v>419076</v>
      </c>
      <c r="R8" s="11">
        <v>419079</v>
      </c>
      <c r="S8" s="6"/>
      <c r="T8" s="6"/>
    </row>
    <row r="9" spans="2:22" x14ac:dyDescent="0.25">
      <c r="B9" s="25" t="s">
        <v>800</v>
      </c>
      <c r="C9" s="25">
        <v>46132</v>
      </c>
      <c r="D9" s="31" t="s">
        <v>43</v>
      </c>
      <c r="E9" s="31" t="s">
        <v>54</v>
      </c>
      <c r="F9" s="6" t="s">
        <v>93</v>
      </c>
      <c r="G9" s="26"/>
      <c r="H9" s="26">
        <v>0.61484953703703704</v>
      </c>
      <c r="I9" s="26">
        <v>0.61832175925925925</v>
      </c>
      <c r="J9" s="26"/>
      <c r="K9" s="28" t="s">
        <v>51</v>
      </c>
      <c r="L9" s="29"/>
      <c r="M9" s="29"/>
      <c r="N9" s="28" t="s">
        <v>50</v>
      </c>
      <c r="O9" s="30"/>
      <c r="P9" s="31" t="s">
        <v>59</v>
      </c>
      <c r="Q9" s="32">
        <v>419079</v>
      </c>
      <c r="R9" s="32">
        <v>419082</v>
      </c>
      <c r="S9" s="6"/>
      <c r="T9" s="6"/>
    </row>
    <row r="10" spans="2:22" x14ac:dyDescent="0.25">
      <c r="B10" s="25" t="s">
        <v>800</v>
      </c>
      <c r="C10" s="25">
        <v>46132</v>
      </c>
      <c r="D10" s="11" t="s">
        <v>43</v>
      </c>
      <c r="E10" s="11" t="s">
        <v>70</v>
      </c>
      <c r="F10" s="6" t="s">
        <v>6</v>
      </c>
      <c r="G10" s="26">
        <v>0.64583333333333337</v>
      </c>
      <c r="H10" s="27">
        <v>0.69791666666666663</v>
      </c>
      <c r="I10" s="27">
        <v>0.72569444444444442</v>
      </c>
      <c r="J10" s="27">
        <v>0.75</v>
      </c>
      <c r="K10" s="28" t="s">
        <v>50</v>
      </c>
      <c r="L10" s="29"/>
      <c r="M10" s="29"/>
      <c r="N10" s="28" t="s">
        <v>54</v>
      </c>
      <c r="O10" s="30" t="s">
        <v>50</v>
      </c>
      <c r="P10" s="11" t="s">
        <v>58</v>
      </c>
      <c r="Q10" s="11">
        <v>419082</v>
      </c>
      <c r="R10" s="11">
        <v>419117</v>
      </c>
      <c r="S10" s="6"/>
      <c r="T10" s="6"/>
    </row>
    <row r="11" spans="2:22" x14ac:dyDescent="0.25">
      <c r="B11" s="25" t="s">
        <v>800</v>
      </c>
      <c r="C11" s="25">
        <v>46132</v>
      </c>
      <c r="D11" s="11" t="s">
        <v>43</v>
      </c>
      <c r="E11" s="11" t="s">
        <v>6</v>
      </c>
      <c r="F11" s="6" t="s">
        <v>70</v>
      </c>
      <c r="G11" s="26">
        <v>0.8125</v>
      </c>
      <c r="H11" s="27">
        <v>0.87847222222222221</v>
      </c>
      <c r="I11" s="27">
        <v>0.90277777777777779</v>
      </c>
      <c r="J11" s="27">
        <v>0.91319444444444442</v>
      </c>
      <c r="K11" s="28" t="s">
        <v>50</v>
      </c>
      <c r="L11" s="28"/>
      <c r="M11" s="28"/>
      <c r="N11" s="28" t="s">
        <v>28</v>
      </c>
      <c r="O11" s="30" t="s">
        <v>50</v>
      </c>
      <c r="P11" s="11" t="s">
        <v>58</v>
      </c>
      <c r="Q11" s="11">
        <v>419117</v>
      </c>
      <c r="R11" s="11">
        <v>419144</v>
      </c>
      <c r="S11" s="6"/>
      <c r="T11" s="6"/>
    </row>
    <row r="12" spans="2:22" x14ac:dyDescent="0.25">
      <c r="K12" s="18"/>
      <c r="L12" s="18"/>
      <c r="M12" s="17"/>
      <c r="O12" s="14"/>
      <c r="P12" s="14"/>
      <c r="Q12" s="14"/>
    </row>
    <row r="13" spans="2:22" ht="15" customHeight="1" x14ac:dyDescent="0.25">
      <c r="N13" s="16"/>
      <c r="O13" s="19"/>
      <c r="P13" s="19"/>
    </row>
    <row r="14" spans="2:22" ht="30" customHeight="1" x14ac:dyDescent="0.25">
      <c r="B14" s="35"/>
      <c r="C14" s="114" t="s">
        <v>36</v>
      </c>
      <c r="D14" s="114"/>
      <c r="E14" s="114"/>
      <c r="F14" s="114"/>
      <c r="G14" s="114"/>
      <c r="H14" s="114"/>
      <c r="I14" s="114"/>
      <c r="J14" s="114"/>
      <c r="K14" s="114"/>
      <c r="L14" s="114"/>
      <c r="M14" s="114"/>
      <c r="N14" s="114"/>
      <c r="O14" s="114"/>
      <c r="P14" s="114"/>
      <c r="Q14" s="114"/>
      <c r="R14" s="114"/>
      <c r="S14" s="114"/>
    </row>
    <row r="15" spans="2:22" s="34" customFormat="1" ht="54" customHeight="1" x14ac:dyDescent="0.25">
      <c r="B15" s="38"/>
      <c r="C15" s="38" t="s">
        <v>15</v>
      </c>
      <c r="D15" s="38" t="s">
        <v>7</v>
      </c>
      <c r="E15" s="38" t="s">
        <v>9</v>
      </c>
      <c r="F15" s="38" t="s">
        <v>10</v>
      </c>
      <c r="G15" s="38" t="s">
        <v>16</v>
      </c>
      <c r="H15" s="38" t="s">
        <v>8</v>
      </c>
      <c r="I15" s="38" t="s">
        <v>23</v>
      </c>
      <c r="J15" s="38" t="s">
        <v>1</v>
      </c>
      <c r="K15" s="38" t="s">
        <v>11</v>
      </c>
      <c r="L15" s="38" t="s">
        <v>24</v>
      </c>
      <c r="M15" s="38" t="s">
        <v>12</v>
      </c>
      <c r="N15" s="38" t="s">
        <v>13</v>
      </c>
      <c r="O15" s="38" t="s">
        <v>0</v>
      </c>
      <c r="P15" s="38" t="s">
        <v>14</v>
      </c>
      <c r="Q15" s="43" t="s">
        <v>3</v>
      </c>
      <c r="R15" s="44" t="s">
        <v>56</v>
      </c>
      <c r="S15" s="44" t="s">
        <v>57</v>
      </c>
      <c r="T15" s="4" t="s">
        <v>68</v>
      </c>
      <c r="U15" s="4" t="s">
        <v>67</v>
      </c>
      <c r="V15" s="4" t="s">
        <v>5</v>
      </c>
    </row>
    <row r="16" spans="2:22" ht="60" x14ac:dyDescent="0.25">
      <c r="B16" s="39" t="s">
        <v>801</v>
      </c>
      <c r="C16" s="39">
        <v>46112</v>
      </c>
      <c r="D16" s="40" t="s">
        <v>17</v>
      </c>
      <c r="E16" s="2" t="s">
        <v>18</v>
      </c>
      <c r="F16" s="2" t="s">
        <v>19</v>
      </c>
      <c r="G16" s="40" t="s">
        <v>20</v>
      </c>
      <c r="H16" s="40">
        <v>10</v>
      </c>
      <c r="I16" s="41">
        <v>0.625</v>
      </c>
      <c r="J16" s="41">
        <v>0.65277777777777779</v>
      </c>
      <c r="K16" s="41">
        <v>0.69097222222222221</v>
      </c>
      <c r="L16" s="41">
        <v>0.72222222222222221</v>
      </c>
      <c r="M16" s="41">
        <v>0.79166666666666663</v>
      </c>
      <c r="N16" s="40" t="s">
        <v>25</v>
      </c>
      <c r="O16" s="42"/>
      <c r="P16" s="42"/>
      <c r="Q16" s="1" t="s">
        <v>75</v>
      </c>
      <c r="R16" s="1">
        <v>359298</v>
      </c>
      <c r="S16" s="1">
        <v>359354</v>
      </c>
      <c r="T16" s="35" t="s">
        <v>71</v>
      </c>
      <c r="U16" s="35" t="s">
        <v>72</v>
      </c>
      <c r="V16" s="35" t="str">
        <f>+T16&amp;" "&amp;U16</f>
        <v>Quang châu Yên Phong</v>
      </c>
    </row>
    <row r="17" spans="2:22" ht="60" x14ac:dyDescent="0.25">
      <c r="B17" s="39" t="s">
        <v>801</v>
      </c>
      <c r="C17" s="36">
        <v>46112</v>
      </c>
      <c r="D17" s="1" t="s">
        <v>21</v>
      </c>
      <c r="E17" s="3" t="s">
        <v>18</v>
      </c>
      <c r="F17" s="3" t="s">
        <v>19</v>
      </c>
      <c r="G17" s="1" t="s">
        <v>22</v>
      </c>
      <c r="H17" s="1">
        <v>5</v>
      </c>
      <c r="I17" s="37">
        <v>0.625</v>
      </c>
      <c r="J17" s="37">
        <v>0.625</v>
      </c>
      <c r="K17" s="37">
        <v>0.70138888888888884</v>
      </c>
      <c r="L17" s="37">
        <v>0.72222222222222221</v>
      </c>
      <c r="M17" s="37">
        <v>0.75</v>
      </c>
      <c r="N17" s="1" t="s">
        <v>25</v>
      </c>
      <c r="O17" s="6"/>
      <c r="P17" s="6"/>
      <c r="Q17" s="49" t="s">
        <v>76</v>
      </c>
      <c r="R17" s="50">
        <v>133180</v>
      </c>
      <c r="S17" s="50">
        <v>133237</v>
      </c>
      <c r="T17" s="35" t="s">
        <v>71</v>
      </c>
      <c r="U17" s="35" t="s">
        <v>72</v>
      </c>
      <c r="V17" s="35" t="str">
        <f>+T17&amp;" "&amp;U17</f>
        <v>Quang châu Yên Phong</v>
      </c>
    </row>
    <row r="18" spans="2:22" x14ac:dyDescent="0.25">
      <c r="E18" s="35"/>
      <c r="F18" s="35"/>
    </row>
    <row r="19" spans="2:22" s="4" customFormat="1" ht="27" customHeight="1" x14ac:dyDescent="0.25">
      <c r="C19" s="114" t="s">
        <v>37</v>
      </c>
      <c r="D19" s="114"/>
      <c r="E19" s="114"/>
      <c r="F19" s="114"/>
      <c r="G19" s="114"/>
      <c r="H19" s="114"/>
      <c r="I19" s="114"/>
      <c r="J19" s="114"/>
      <c r="K19" s="114"/>
      <c r="L19" s="114"/>
      <c r="M19" s="114"/>
      <c r="N19" s="114"/>
      <c r="O19" s="114"/>
      <c r="P19" s="114"/>
      <c r="Q19" s="114"/>
      <c r="R19" s="114"/>
      <c r="S19" s="114"/>
      <c r="T19"/>
    </row>
    <row r="20" spans="2:22" s="4" customFormat="1" ht="43.5" customHeight="1" x14ac:dyDescent="0.25">
      <c r="B20" s="38"/>
      <c r="C20" s="38" t="s">
        <v>15</v>
      </c>
      <c r="D20" s="38" t="s">
        <v>7</v>
      </c>
      <c r="E20" s="38" t="s">
        <v>9</v>
      </c>
      <c r="F20" s="38" t="s">
        <v>10</v>
      </c>
      <c r="I20" s="38" t="s">
        <v>23</v>
      </c>
      <c r="J20" s="38" t="s">
        <v>1</v>
      </c>
      <c r="K20" s="38" t="s">
        <v>11</v>
      </c>
      <c r="L20" s="38" t="s">
        <v>24</v>
      </c>
      <c r="M20" s="38" t="s">
        <v>12</v>
      </c>
      <c r="N20" s="38" t="s">
        <v>13</v>
      </c>
      <c r="O20" s="38" t="s">
        <v>0</v>
      </c>
      <c r="P20" s="38" t="s">
        <v>14</v>
      </c>
      <c r="Q20" s="43" t="s">
        <v>3</v>
      </c>
      <c r="R20" s="44" t="s">
        <v>56</v>
      </c>
      <c r="S20" s="44" t="s">
        <v>57</v>
      </c>
      <c r="T20" s="4" t="s">
        <v>68</v>
      </c>
      <c r="U20" s="4" t="s">
        <v>67</v>
      </c>
      <c r="V20" s="4" t="s">
        <v>5</v>
      </c>
    </row>
    <row r="21" spans="2:22" ht="30" x14ac:dyDescent="0.25">
      <c r="B21" s="39"/>
      <c r="C21" s="39">
        <v>46116</v>
      </c>
      <c r="D21" s="40" t="s">
        <v>26</v>
      </c>
      <c r="E21" s="2" t="s">
        <v>27</v>
      </c>
      <c r="F21" s="2" t="s">
        <v>31</v>
      </c>
      <c r="G21" s="40"/>
      <c r="H21" s="40">
        <v>8</v>
      </c>
      <c r="I21" s="41">
        <v>0.5625</v>
      </c>
      <c r="J21" s="41">
        <v>0.5625</v>
      </c>
      <c r="K21" s="41">
        <v>0.63194444444444442</v>
      </c>
      <c r="L21" s="41">
        <v>0.67361111111111116</v>
      </c>
      <c r="M21" s="41">
        <v>0.73611111111111116</v>
      </c>
      <c r="N21" s="40" t="s">
        <v>25</v>
      </c>
      <c r="O21" s="42"/>
      <c r="P21" s="42"/>
      <c r="Q21" s="51" t="s">
        <v>77</v>
      </c>
      <c r="R21" s="52">
        <v>432650</v>
      </c>
      <c r="S21" s="52">
        <v>432700</v>
      </c>
      <c r="T21" s="45" t="s">
        <v>69</v>
      </c>
      <c r="U21" s="45" t="s">
        <v>70</v>
      </c>
      <c r="V21" s="45" t="str">
        <f>+T21&amp;" "&amp;U21</f>
        <v>Vân Trung NBA</v>
      </c>
    </row>
    <row r="22" spans="2:22" x14ac:dyDescent="0.25">
      <c r="B22" s="36"/>
      <c r="C22" s="36">
        <v>46116</v>
      </c>
      <c r="D22" s="1"/>
      <c r="E22" s="3"/>
      <c r="F22" s="3" t="s">
        <v>32</v>
      </c>
      <c r="G22" s="1"/>
      <c r="H22" s="1">
        <v>8</v>
      </c>
      <c r="I22" s="37">
        <v>0.73611111111111116</v>
      </c>
      <c r="J22" s="37">
        <v>0.73611111111111116</v>
      </c>
      <c r="K22" s="37">
        <v>0.73611111111111116</v>
      </c>
      <c r="L22" s="37">
        <v>0.74305555555555547</v>
      </c>
      <c r="M22" s="37">
        <v>0.86111111111111116</v>
      </c>
      <c r="N22" s="1" t="s">
        <v>25</v>
      </c>
      <c r="O22" s="6"/>
      <c r="P22" s="6"/>
      <c r="Q22" s="51" t="s">
        <v>77</v>
      </c>
      <c r="R22" s="52">
        <v>432700</v>
      </c>
      <c r="S22" s="52">
        <v>432705</v>
      </c>
      <c r="T22" s="45"/>
      <c r="U22" s="45"/>
      <c r="V22" s="45" t="str">
        <f t="shared" ref="V22:V26" si="0">+T22&amp;" "&amp;U22</f>
        <v xml:space="preserve"> </v>
      </c>
    </row>
    <row r="23" spans="2:22" x14ac:dyDescent="0.25">
      <c r="B23" s="36"/>
      <c r="C23" s="36">
        <v>46116</v>
      </c>
      <c r="D23" s="1"/>
      <c r="E23" s="3"/>
      <c r="F23" s="3" t="s">
        <v>33</v>
      </c>
      <c r="G23" s="1"/>
      <c r="H23" s="1">
        <v>8</v>
      </c>
      <c r="I23" s="37">
        <v>0.86111111111111116</v>
      </c>
      <c r="J23" s="37">
        <v>0.86111111111111116</v>
      </c>
      <c r="K23" s="37">
        <v>0.86111111111111116</v>
      </c>
      <c r="L23" s="37">
        <v>0.90972222222222221</v>
      </c>
      <c r="M23" s="37">
        <v>0.95486111111111116</v>
      </c>
      <c r="N23" s="1" t="s">
        <v>25</v>
      </c>
      <c r="O23" s="6"/>
      <c r="P23" s="6"/>
      <c r="Q23" s="51" t="s">
        <v>77</v>
      </c>
      <c r="R23" s="52">
        <v>432705</v>
      </c>
      <c r="S23" s="52">
        <v>432760</v>
      </c>
      <c r="T23" s="45"/>
      <c r="U23" s="45"/>
      <c r="V23" s="45" t="str">
        <f t="shared" si="0"/>
        <v xml:space="preserve"> </v>
      </c>
    </row>
    <row r="24" spans="2:22" ht="30" x14ac:dyDescent="0.25">
      <c r="B24" s="36"/>
      <c r="C24" s="36">
        <v>46118</v>
      </c>
      <c r="D24" s="1" t="s">
        <v>17</v>
      </c>
      <c r="E24" s="3" t="s">
        <v>27</v>
      </c>
      <c r="F24" s="3" t="s">
        <v>31</v>
      </c>
      <c r="G24" s="1"/>
      <c r="H24" s="1">
        <v>8</v>
      </c>
      <c r="I24" s="37">
        <v>0.5625</v>
      </c>
      <c r="J24" s="37">
        <v>0.5625</v>
      </c>
      <c r="K24" s="37">
        <v>0.66319444444444442</v>
      </c>
      <c r="L24" s="37">
        <v>0.71180555555555558</v>
      </c>
      <c r="M24" s="37">
        <v>0.77083333333333337</v>
      </c>
      <c r="N24" s="1" t="s">
        <v>25</v>
      </c>
      <c r="O24" s="6"/>
      <c r="P24" s="6"/>
      <c r="Q24" s="51" t="s">
        <v>76</v>
      </c>
      <c r="R24" s="52">
        <v>133180</v>
      </c>
      <c r="S24" s="52">
        <v>133235</v>
      </c>
      <c r="T24" s="45" t="s">
        <v>69</v>
      </c>
      <c r="U24" s="45" t="s">
        <v>70</v>
      </c>
      <c r="V24" s="45" t="str">
        <f t="shared" si="0"/>
        <v>Vân Trung NBA</v>
      </c>
    </row>
    <row r="25" spans="2:22" x14ac:dyDescent="0.25">
      <c r="B25" s="36"/>
      <c r="C25" s="36">
        <v>46118</v>
      </c>
      <c r="D25" s="1"/>
      <c r="E25" s="3"/>
      <c r="F25" s="3" t="s">
        <v>34</v>
      </c>
      <c r="G25" s="1"/>
      <c r="H25" s="1">
        <v>8</v>
      </c>
      <c r="I25" s="37">
        <v>0.77083333333333337</v>
      </c>
      <c r="J25" s="37">
        <v>0.77083333333333337</v>
      </c>
      <c r="K25" s="37">
        <v>0.77083333333333337</v>
      </c>
      <c r="L25" s="37">
        <v>0.78125</v>
      </c>
      <c r="M25" s="37">
        <v>0.85416666666666663</v>
      </c>
      <c r="N25" s="1" t="s">
        <v>25</v>
      </c>
      <c r="O25" s="6"/>
      <c r="P25" s="6"/>
      <c r="Q25" s="51" t="s">
        <v>76</v>
      </c>
      <c r="R25" s="52">
        <v>133235</v>
      </c>
      <c r="S25" s="52">
        <v>133237</v>
      </c>
      <c r="T25" s="45"/>
      <c r="U25" s="45"/>
      <c r="V25" s="45" t="str">
        <f t="shared" si="0"/>
        <v xml:space="preserve"> </v>
      </c>
    </row>
    <row r="26" spans="2:22" ht="30" x14ac:dyDescent="0.25">
      <c r="B26" s="36"/>
      <c r="C26" s="36">
        <v>46118</v>
      </c>
      <c r="D26" s="1" t="s">
        <v>29</v>
      </c>
      <c r="E26" s="3" t="s">
        <v>30</v>
      </c>
      <c r="F26" s="3" t="s">
        <v>35</v>
      </c>
      <c r="G26" s="1"/>
      <c r="H26" s="1">
        <v>5</v>
      </c>
      <c r="I26" s="37">
        <v>0.76388888888888884</v>
      </c>
      <c r="J26" s="37">
        <v>0.76388888888888884</v>
      </c>
      <c r="K26" s="37">
        <v>0.76388888888888884</v>
      </c>
      <c r="L26" s="37">
        <v>0.80555555555555547</v>
      </c>
      <c r="M26" s="37">
        <v>0.83680555555555547</v>
      </c>
      <c r="N26" s="1" t="s">
        <v>25</v>
      </c>
      <c r="O26" s="6"/>
      <c r="P26" s="6"/>
      <c r="Q26" s="33" t="s">
        <v>78</v>
      </c>
      <c r="R26" s="33">
        <v>428092</v>
      </c>
      <c r="S26" s="33">
        <v>428133</v>
      </c>
      <c r="T26" s="45" t="s">
        <v>69</v>
      </c>
      <c r="U26" s="45" t="s">
        <v>70</v>
      </c>
      <c r="V26" s="45" t="str">
        <f t="shared" si="0"/>
        <v>Vân Trung NBA</v>
      </c>
    </row>
    <row r="27" spans="2:22" x14ac:dyDescent="0.25">
      <c r="B27" s="36"/>
      <c r="C27" s="36">
        <v>46118</v>
      </c>
      <c r="D27" s="1"/>
      <c r="E27" s="3"/>
      <c r="F27" s="3" t="s">
        <v>33</v>
      </c>
      <c r="G27" s="1"/>
      <c r="H27" s="1">
        <v>5</v>
      </c>
      <c r="I27" s="37">
        <v>0.58333333333333337</v>
      </c>
      <c r="J27" s="37">
        <v>0.58333333333333337</v>
      </c>
      <c r="K27" s="37">
        <v>0.69791666666666663</v>
      </c>
      <c r="L27" s="37">
        <v>0.74305555555555558</v>
      </c>
      <c r="M27" s="37">
        <v>0.76388888888888884</v>
      </c>
      <c r="N27" s="1" t="s">
        <v>25</v>
      </c>
      <c r="O27" s="6"/>
      <c r="P27" s="6"/>
      <c r="Q27" s="33" t="s">
        <v>78</v>
      </c>
      <c r="R27" s="33">
        <v>428062</v>
      </c>
      <c r="S27" s="33">
        <v>428092</v>
      </c>
    </row>
    <row r="31" spans="2:22" x14ac:dyDescent="0.25">
      <c r="B31" s="35"/>
      <c r="C31" s="113" t="s">
        <v>82</v>
      </c>
      <c r="D31" s="113"/>
      <c r="E31" s="113"/>
      <c r="F31" s="113"/>
      <c r="G31" s="113"/>
      <c r="H31" s="113"/>
      <c r="I31" s="113"/>
      <c r="J31" s="113"/>
      <c r="K31" s="113"/>
      <c r="L31" s="113"/>
      <c r="M31" s="113"/>
      <c r="N31" s="113"/>
      <c r="O31" s="113"/>
      <c r="P31" s="113"/>
      <c r="Q31" s="113"/>
      <c r="R31" s="113"/>
      <c r="S31" s="113"/>
    </row>
    <row r="32" spans="2:22" ht="42.75" x14ac:dyDescent="0.25">
      <c r="B32" s="21"/>
      <c r="C32" s="21" t="s">
        <v>38</v>
      </c>
      <c r="D32" s="21" t="s">
        <v>7</v>
      </c>
      <c r="E32" s="21" t="s">
        <v>5</v>
      </c>
      <c r="F32" s="21" t="s">
        <v>39</v>
      </c>
      <c r="G32" s="21" t="s">
        <v>40</v>
      </c>
      <c r="H32" s="21" t="s">
        <v>41</v>
      </c>
      <c r="I32" s="21" t="s">
        <v>42</v>
      </c>
      <c r="J32" s="22" t="s">
        <v>60</v>
      </c>
      <c r="K32" s="22" t="s">
        <v>55</v>
      </c>
      <c r="L32" s="22" t="s">
        <v>2</v>
      </c>
      <c r="M32" s="21" t="s">
        <v>53</v>
      </c>
      <c r="N32" s="21" t="s">
        <v>0</v>
      </c>
      <c r="O32" s="23" t="s">
        <v>3</v>
      </c>
      <c r="P32" s="24" t="s">
        <v>56</v>
      </c>
      <c r="Q32" s="24" t="s">
        <v>57</v>
      </c>
      <c r="R32" s="24" t="s">
        <v>61</v>
      </c>
      <c r="S32" s="24" t="s">
        <v>62</v>
      </c>
    </row>
    <row r="33" spans="2:19" x14ac:dyDescent="0.25">
      <c r="B33" s="25"/>
      <c r="C33" s="25">
        <v>46132</v>
      </c>
      <c r="D33" s="11" t="s">
        <v>43</v>
      </c>
      <c r="E33" s="11" t="s">
        <v>44</v>
      </c>
      <c r="F33" s="26">
        <v>0.34722222222222221</v>
      </c>
      <c r="G33" s="27">
        <v>0.375</v>
      </c>
      <c r="H33" s="27">
        <v>0.38194444444444442</v>
      </c>
      <c r="I33" s="27">
        <v>0.39583333333333331</v>
      </c>
      <c r="J33" s="28" t="s">
        <v>50</v>
      </c>
      <c r="K33" s="29"/>
      <c r="L33" s="29"/>
      <c r="M33" s="28" t="s">
        <v>28</v>
      </c>
      <c r="N33" s="30" t="s">
        <v>52</v>
      </c>
      <c r="O33" s="11" t="s">
        <v>58</v>
      </c>
      <c r="P33" s="11">
        <v>419064</v>
      </c>
      <c r="Q33" s="11">
        <v>419067</v>
      </c>
      <c r="R33" s="6"/>
      <c r="S33" s="6"/>
    </row>
    <row r="34" spans="2:19" x14ac:dyDescent="0.25">
      <c r="B34" s="25"/>
      <c r="C34" s="25">
        <v>46132</v>
      </c>
      <c r="D34" s="31" t="s">
        <v>43</v>
      </c>
      <c r="E34" s="11" t="s">
        <v>45</v>
      </c>
      <c r="F34" s="26"/>
      <c r="G34" s="27">
        <v>0.39583333333333331</v>
      </c>
      <c r="H34" s="26">
        <v>0.39930555555555552</v>
      </c>
      <c r="I34" s="26"/>
      <c r="J34" s="28" t="s">
        <v>51</v>
      </c>
      <c r="K34" s="29"/>
      <c r="L34" s="29"/>
      <c r="M34" s="28" t="s">
        <v>50</v>
      </c>
      <c r="N34" s="30"/>
      <c r="O34" s="31" t="s">
        <v>59</v>
      </c>
      <c r="P34" s="32">
        <v>419067</v>
      </c>
      <c r="Q34" s="32">
        <v>419070</v>
      </c>
      <c r="R34" s="6"/>
      <c r="S34" s="6"/>
    </row>
    <row r="35" spans="2:19" x14ac:dyDescent="0.25">
      <c r="B35" s="25"/>
      <c r="C35" s="25">
        <v>46132</v>
      </c>
      <c r="D35" s="11" t="s">
        <v>43</v>
      </c>
      <c r="E35" s="11" t="s">
        <v>46</v>
      </c>
      <c r="F35" s="26">
        <v>0.4201388888888889</v>
      </c>
      <c r="G35" s="27">
        <v>0.46875</v>
      </c>
      <c r="H35" s="27">
        <v>0.47569444444444442</v>
      </c>
      <c r="I35" s="27">
        <v>0.55555555555555558</v>
      </c>
      <c r="J35" s="28" t="s">
        <v>50</v>
      </c>
      <c r="K35" s="29"/>
      <c r="L35" s="29"/>
      <c r="M35" s="28" t="s">
        <v>54</v>
      </c>
      <c r="N35" s="30" t="s">
        <v>52</v>
      </c>
      <c r="O35" s="11" t="s">
        <v>58</v>
      </c>
      <c r="P35" s="11">
        <v>419070</v>
      </c>
      <c r="Q35" s="11">
        <v>419073</v>
      </c>
      <c r="R35" s="6"/>
      <c r="S35" s="6"/>
    </row>
    <row r="36" spans="2:19" x14ac:dyDescent="0.25">
      <c r="B36" s="25"/>
      <c r="C36" s="25">
        <v>46132</v>
      </c>
      <c r="D36" s="31" t="s">
        <v>43</v>
      </c>
      <c r="E36" s="11" t="s">
        <v>47</v>
      </c>
      <c r="F36" s="26"/>
      <c r="G36" s="26">
        <v>0.55555555555555558</v>
      </c>
      <c r="H36" s="26">
        <v>0.55902777777777779</v>
      </c>
      <c r="I36" s="26"/>
      <c r="J36" s="28" t="s">
        <v>51</v>
      </c>
      <c r="K36" s="29"/>
      <c r="L36" s="29"/>
      <c r="M36" s="28" t="s">
        <v>50</v>
      </c>
      <c r="N36" s="30"/>
      <c r="O36" s="31" t="s">
        <v>59</v>
      </c>
      <c r="P36" s="32">
        <v>419073</v>
      </c>
      <c r="Q36" s="32">
        <v>419076</v>
      </c>
      <c r="R36" s="6"/>
      <c r="S36" s="6"/>
    </row>
    <row r="37" spans="2:19" x14ac:dyDescent="0.25">
      <c r="B37" s="25"/>
      <c r="C37" s="25">
        <v>46132</v>
      </c>
      <c r="D37" s="11" t="s">
        <v>43</v>
      </c>
      <c r="E37" s="11" t="s">
        <v>46</v>
      </c>
      <c r="F37" s="26">
        <v>0.5625</v>
      </c>
      <c r="G37" s="27">
        <v>0.57291666666666663</v>
      </c>
      <c r="H37" s="27">
        <v>0.57986111111111116</v>
      </c>
      <c r="I37" s="27">
        <v>0.61111111111111116</v>
      </c>
      <c r="J37" s="28" t="s">
        <v>50</v>
      </c>
      <c r="K37" s="28"/>
      <c r="L37" s="28"/>
      <c r="M37" s="28" t="s">
        <v>54</v>
      </c>
      <c r="N37" s="30" t="s">
        <v>52</v>
      </c>
      <c r="O37" s="11" t="s">
        <v>58</v>
      </c>
      <c r="P37" s="11">
        <v>419076</v>
      </c>
      <c r="Q37" s="11">
        <v>419079</v>
      </c>
      <c r="R37" s="6"/>
      <c r="S37" s="6"/>
    </row>
    <row r="38" spans="2:19" x14ac:dyDescent="0.25">
      <c r="B38" s="25"/>
      <c r="C38" s="25">
        <v>46132</v>
      </c>
      <c r="D38" s="31" t="s">
        <v>43</v>
      </c>
      <c r="E38" s="11" t="s">
        <v>47</v>
      </c>
      <c r="F38" s="26"/>
      <c r="G38" s="26">
        <v>0.61484953703703704</v>
      </c>
      <c r="H38" s="26">
        <v>0.61832175925925925</v>
      </c>
      <c r="I38" s="26"/>
      <c r="J38" s="28" t="s">
        <v>51</v>
      </c>
      <c r="K38" s="29"/>
      <c r="L38" s="29"/>
      <c r="M38" s="28" t="s">
        <v>50</v>
      </c>
      <c r="N38" s="30"/>
      <c r="O38" s="31" t="s">
        <v>59</v>
      </c>
      <c r="P38" s="32">
        <v>419079</v>
      </c>
      <c r="Q38" s="32">
        <v>419082</v>
      </c>
      <c r="R38" s="6"/>
      <c r="S38" s="6"/>
    </row>
    <row r="39" spans="2:19" x14ac:dyDescent="0.25">
      <c r="B39" s="25"/>
      <c r="C39" s="25">
        <v>46132</v>
      </c>
      <c r="D39" s="11" t="s">
        <v>43</v>
      </c>
      <c r="E39" s="11" t="s">
        <v>48</v>
      </c>
      <c r="F39" s="26">
        <v>0.64583333333333337</v>
      </c>
      <c r="G39" s="27">
        <v>0.69791666666666663</v>
      </c>
      <c r="H39" s="27">
        <v>0.72569444444444442</v>
      </c>
      <c r="I39" s="27">
        <v>0.75</v>
      </c>
      <c r="J39" s="28" t="s">
        <v>50</v>
      </c>
      <c r="K39" s="29"/>
      <c r="L39" s="29"/>
      <c r="M39" s="28" t="s">
        <v>54</v>
      </c>
      <c r="N39" s="30" t="s">
        <v>50</v>
      </c>
      <c r="O39" s="11" t="s">
        <v>58</v>
      </c>
      <c r="P39" s="11">
        <v>419082</v>
      </c>
      <c r="Q39" s="11">
        <v>419117</v>
      </c>
      <c r="R39" s="6"/>
      <c r="S39" s="6"/>
    </row>
    <row r="40" spans="2:19" x14ac:dyDescent="0.25">
      <c r="B40" s="25"/>
      <c r="C40" s="25">
        <v>46132</v>
      </c>
      <c r="D40" s="11" t="s">
        <v>43</v>
      </c>
      <c r="E40" s="11" t="s">
        <v>49</v>
      </c>
      <c r="F40" s="26">
        <v>0.8125</v>
      </c>
      <c r="G40" s="27">
        <v>0.87847222222222221</v>
      </c>
      <c r="H40" s="27">
        <v>0.90277777777777779</v>
      </c>
      <c r="I40" s="27">
        <v>0.91319444444444442</v>
      </c>
      <c r="J40" s="28" t="s">
        <v>50</v>
      </c>
      <c r="K40" s="28"/>
      <c r="L40" s="28"/>
      <c r="M40" s="28" t="s">
        <v>28</v>
      </c>
      <c r="N40" s="30" t="s">
        <v>50</v>
      </c>
      <c r="O40" s="11" t="s">
        <v>58</v>
      </c>
      <c r="P40" s="11">
        <v>419117</v>
      </c>
      <c r="Q40" s="11">
        <v>419144</v>
      </c>
      <c r="R40" s="6"/>
      <c r="S40" s="6"/>
    </row>
    <row r="41" spans="2:19" x14ac:dyDescent="0.25">
      <c r="B41" s="25"/>
      <c r="C41" s="25">
        <v>46112</v>
      </c>
      <c r="D41" s="11" t="s">
        <v>17</v>
      </c>
      <c r="E41" s="11" t="s">
        <v>73</v>
      </c>
      <c r="F41" s="26">
        <v>0.65277777777777779</v>
      </c>
      <c r="G41" s="27">
        <v>0.69097222222222221</v>
      </c>
      <c r="H41" s="27">
        <v>0.72222222222222221</v>
      </c>
      <c r="I41" s="27">
        <v>0.79166666666666663</v>
      </c>
      <c r="J41" s="28"/>
      <c r="K41" s="28"/>
      <c r="L41" s="28" t="s">
        <v>25</v>
      </c>
      <c r="M41" s="28"/>
      <c r="N41" s="30"/>
      <c r="O41" s="11" t="s">
        <v>75</v>
      </c>
      <c r="P41" s="11">
        <v>359298</v>
      </c>
      <c r="Q41" s="11">
        <v>359354</v>
      </c>
      <c r="R41" s="6"/>
      <c r="S41" s="6"/>
    </row>
    <row r="42" spans="2:19" x14ac:dyDescent="0.25">
      <c r="B42" s="25"/>
      <c r="C42" s="25">
        <v>46112</v>
      </c>
      <c r="D42" s="11" t="s">
        <v>21</v>
      </c>
      <c r="E42" s="11" t="s">
        <v>73</v>
      </c>
      <c r="F42" s="26">
        <v>0.625</v>
      </c>
      <c r="G42" s="27">
        <v>0.70138888888888884</v>
      </c>
      <c r="H42" s="27">
        <v>0.72222222222222221</v>
      </c>
      <c r="I42" s="27">
        <v>0.75</v>
      </c>
      <c r="J42" s="28"/>
      <c r="K42" s="28"/>
      <c r="L42" s="28" t="s">
        <v>25</v>
      </c>
      <c r="M42" s="28"/>
      <c r="N42" s="30"/>
      <c r="O42" s="31" t="s">
        <v>76</v>
      </c>
      <c r="P42" s="32">
        <v>133180</v>
      </c>
      <c r="Q42" s="32">
        <v>133237</v>
      </c>
      <c r="R42" s="6"/>
      <c r="S42" s="6"/>
    </row>
    <row r="43" spans="2:19" x14ac:dyDescent="0.25">
      <c r="B43" s="25"/>
      <c r="C43" s="25">
        <v>46116</v>
      </c>
      <c r="D43" s="11" t="s">
        <v>26</v>
      </c>
      <c r="E43" s="11" t="s">
        <v>74</v>
      </c>
      <c r="F43" s="26">
        <v>0.5625</v>
      </c>
      <c r="G43" s="27">
        <v>0.63194444444444442</v>
      </c>
      <c r="H43" s="27">
        <v>0.67361111111111116</v>
      </c>
      <c r="I43" s="27">
        <v>0.86111111111111116</v>
      </c>
      <c r="J43" s="28"/>
      <c r="K43" s="28"/>
      <c r="L43" s="28" t="s">
        <v>25</v>
      </c>
      <c r="M43" s="28"/>
      <c r="N43" s="30"/>
      <c r="O43" s="31" t="s">
        <v>77</v>
      </c>
      <c r="P43" s="32">
        <v>432650</v>
      </c>
      <c r="Q43" s="32">
        <v>432760</v>
      </c>
      <c r="R43" s="6"/>
      <c r="S43" s="6"/>
    </row>
    <row r="44" spans="2:19" x14ac:dyDescent="0.25">
      <c r="B44" s="25"/>
      <c r="C44" s="25">
        <v>46118</v>
      </c>
      <c r="D44" s="11" t="s">
        <v>17</v>
      </c>
      <c r="E44" s="11" t="s">
        <v>74</v>
      </c>
      <c r="F44" s="26">
        <v>0.5625</v>
      </c>
      <c r="G44" s="27">
        <v>0.66319444444444442</v>
      </c>
      <c r="H44" s="27">
        <v>0.71180555555555558</v>
      </c>
      <c r="I44" s="27">
        <v>0.85416666666666663</v>
      </c>
      <c r="J44" s="28"/>
      <c r="K44" s="28"/>
      <c r="L44" s="28" t="s">
        <v>25</v>
      </c>
      <c r="M44" s="28"/>
      <c r="N44" s="30"/>
      <c r="O44" s="31" t="s">
        <v>76</v>
      </c>
      <c r="P44" s="32">
        <v>133180</v>
      </c>
      <c r="Q44" s="32">
        <v>133237</v>
      </c>
      <c r="R44" s="6"/>
      <c r="S44" s="6"/>
    </row>
    <row r="45" spans="2:19" x14ac:dyDescent="0.25">
      <c r="B45" s="25"/>
      <c r="C45" s="25">
        <v>46118</v>
      </c>
      <c r="D45" s="11" t="s">
        <v>29</v>
      </c>
      <c r="E45" s="11" t="s">
        <v>74</v>
      </c>
      <c r="F45" s="26">
        <v>0.58333333333333337</v>
      </c>
      <c r="G45" s="27">
        <v>0.69791666666666663</v>
      </c>
      <c r="H45" s="27">
        <v>0.74305555555555558</v>
      </c>
      <c r="I45" s="27">
        <v>0.83680555555555547</v>
      </c>
      <c r="J45" s="28"/>
      <c r="K45" s="28"/>
      <c r="L45" s="28" t="s">
        <v>25</v>
      </c>
      <c r="M45" s="28"/>
      <c r="N45" s="30"/>
      <c r="O45" s="11" t="s">
        <v>78</v>
      </c>
      <c r="P45" s="11">
        <v>428062</v>
      </c>
      <c r="Q45" s="11">
        <v>428133</v>
      </c>
      <c r="R45" s="6"/>
      <c r="S45" s="6"/>
    </row>
    <row r="50" spans="1:1" x14ac:dyDescent="0.25">
      <c r="A50" t="s">
        <v>64</v>
      </c>
    </row>
    <row r="51" spans="1:1" x14ac:dyDescent="0.25">
      <c r="A51" t="s">
        <v>65</v>
      </c>
    </row>
    <row r="52" spans="1:1" x14ac:dyDescent="0.25">
      <c r="A52" t="s">
        <v>66</v>
      </c>
    </row>
    <row r="53" spans="1:1" x14ac:dyDescent="0.25">
      <c r="A53" t="s">
        <v>79</v>
      </c>
    </row>
    <row r="54" spans="1:1" x14ac:dyDescent="0.25">
      <c r="A54" t="s">
        <v>80</v>
      </c>
    </row>
    <row r="55" spans="1:1" x14ac:dyDescent="0.25">
      <c r="A55" t="s">
        <v>81</v>
      </c>
    </row>
  </sheetData>
  <mergeCells count="3">
    <mergeCell ref="C31:S31"/>
    <mergeCell ref="C14:S14"/>
    <mergeCell ref="C19:S19"/>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AR24"/>
  <sheetViews>
    <sheetView topLeftCell="H1" zoomScale="70" zoomScaleNormal="70" workbookViewId="0">
      <selection activeCell="J4" sqref="J4"/>
    </sheetView>
  </sheetViews>
  <sheetFormatPr defaultRowHeight="15" x14ac:dyDescent="0.25"/>
  <cols>
    <col min="3" max="3" width="15.140625" customWidth="1"/>
    <col min="4" max="4" width="10.7109375" customWidth="1"/>
    <col min="7" max="8" width="33.42578125" customWidth="1"/>
    <col min="9" max="12" width="19.85546875" style="102" customWidth="1"/>
    <col min="13" max="13" width="9.140625" style="72"/>
    <col min="16" max="16" width="16.28515625" customWidth="1"/>
    <col min="21" max="21" width="11.5703125" customWidth="1"/>
    <col min="22" max="23" width="13.85546875" customWidth="1"/>
    <col min="24" max="24" width="22.140625" style="74" customWidth="1"/>
    <col min="25" max="25" width="43.7109375" customWidth="1"/>
    <col min="26" max="26" width="12.42578125" customWidth="1"/>
    <col min="27" max="27" width="8.5703125" customWidth="1"/>
    <col min="28" max="28" width="8.7109375" customWidth="1"/>
    <col min="30" max="30" width="21.140625" customWidth="1"/>
    <col min="31" max="34" width="20.140625" style="102" customWidth="1"/>
    <col min="38" max="38" width="14.5703125" customWidth="1"/>
    <col min="39" max="40" width="9.5703125" bestFit="1" customWidth="1"/>
  </cols>
  <sheetData>
    <row r="1" spans="3:44" x14ac:dyDescent="0.25">
      <c r="C1" s="124" t="s">
        <v>835</v>
      </c>
      <c r="D1" s="124"/>
      <c r="E1" s="124"/>
      <c r="F1" s="124"/>
      <c r="G1" s="124"/>
      <c r="H1" s="124"/>
      <c r="I1" s="124"/>
      <c r="J1" s="124"/>
      <c r="K1" s="124"/>
      <c r="L1" s="124"/>
      <c r="M1" s="124"/>
      <c r="N1" s="124"/>
      <c r="O1" s="124"/>
      <c r="P1" s="124"/>
      <c r="Q1" s="124"/>
      <c r="R1" s="124"/>
      <c r="S1" s="124"/>
      <c r="T1" s="124"/>
      <c r="U1" s="124"/>
      <c r="V1" s="124"/>
      <c r="W1" s="124"/>
      <c r="Z1" s="125" t="s">
        <v>814</v>
      </c>
      <c r="AA1" s="125"/>
      <c r="AB1" s="125"/>
      <c r="AC1" s="125"/>
      <c r="AD1" s="125"/>
      <c r="AE1" s="125"/>
      <c r="AF1" s="125"/>
      <c r="AG1" s="125"/>
      <c r="AH1" s="125"/>
      <c r="AI1" s="125"/>
      <c r="AJ1" s="125"/>
      <c r="AK1" s="125"/>
      <c r="AL1" s="125"/>
      <c r="AM1" s="125"/>
      <c r="AN1" s="125"/>
      <c r="AO1" s="125"/>
      <c r="AP1" s="125"/>
      <c r="AQ1" s="125"/>
      <c r="AR1" s="125"/>
    </row>
    <row r="2" spans="3:44" x14ac:dyDescent="0.25">
      <c r="C2" s="124"/>
      <c r="D2" s="124"/>
      <c r="E2" s="124"/>
      <c r="F2" s="124"/>
      <c r="G2" s="124"/>
      <c r="H2" s="124"/>
      <c r="I2" s="124"/>
      <c r="J2" s="124"/>
      <c r="K2" s="124"/>
      <c r="L2" s="124"/>
      <c r="M2" s="124"/>
      <c r="N2" s="124"/>
      <c r="O2" s="124"/>
      <c r="P2" s="124"/>
      <c r="Q2" s="124"/>
      <c r="R2" s="124"/>
      <c r="S2" s="124"/>
      <c r="T2" s="124"/>
      <c r="U2" s="124"/>
      <c r="V2" s="124"/>
      <c r="W2" s="124"/>
      <c r="Z2" s="125"/>
      <c r="AA2" s="125"/>
      <c r="AB2" s="125"/>
      <c r="AC2" s="125"/>
      <c r="AD2" s="125"/>
      <c r="AE2" s="125"/>
      <c r="AF2" s="125"/>
      <c r="AG2" s="125"/>
      <c r="AH2" s="125"/>
      <c r="AI2" s="125"/>
      <c r="AJ2" s="125"/>
      <c r="AK2" s="125"/>
      <c r="AL2" s="125"/>
      <c r="AM2" s="125"/>
      <c r="AN2" s="125"/>
      <c r="AO2" s="125"/>
      <c r="AP2" s="125"/>
      <c r="AQ2" s="125"/>
      <c r="AR2" s="125"/>
    </row>
    <row r="3" spans="3:44" ht="15.75" x14ac:dyDescent="0.25">
      <c r="C3" s="122" t="s">
        <v>838</v>
      </c>
      <c r="D3" s="122"/>
      <c r="E3" s="122"/>
      <c r="F3" s="122"/>
      <c r="G3" s="122"/>
      <c r="H3" s="122"/>
      <c r="I3" s="122"/>
      <c r="J3" s="122"/>
      <c r="K3" s="122"/>
      <c r="L3" s="122"/>
      <c r="M3" s="122"/>
      <c r="N3" s="122"/>
      <c r="O3" s="122"/>
      <c r="P3" s="122"/>
      <c r="Q3" s="122"/>
      <c r="R3" s="122"/>
      <c r="S3" s="122"/>
      <c r="T3" s="122"/>
      <c r="U3" s="122"/>
      <c r="V3" s="122"/>
      <c r="W3" s="122"/>
      <c r="Z3" s="123" t="s">
        <v>802</v>
      </c>
      <c r="AA3" s="123"/>
      <c r="AB3" s="123"/>
      <c r="AC3" s="123"/>
      <c r="AD3" s="123"/>
      <c r="AE3" s="123"/>
      <c r="AF3" s="123"/>
      <c r="AG3" s="123"/>
      <c r="AH3" s="123"/>
      <c r="AI3" s="123"/>
      <c r="AJ3" s="123"/>
      <c r="AK3" s="123"/>
      <c r="AL3" s="123"/>
      <c r="AM3" s="123"/>
      <c r="AN3" s="123"/>
      <c r="AO3" s="123"/>
      <c r="AP3" s="123"/>
      <c r="AQ3" s="123"/>
      <c r="AR3" s="123"/>
    </row>
    <row r="4" spans="3:44" ht="57" x14ac:dyDescent="0.25">
      <c r="C4" s="81" t="s">
        <v>799</v>
      </c>
      <c r="D4" s="81" t="s">
        <v>803</v>
      </c>
      <c r="E4" s="81" t="s">
        <v>38</v>
      </c>
      <c r="F4" s="81" t="s">
        <v>7</v>
      </c>
      <c r="G4" s="38" t="s">
        <v>9</v>
      </c>
      <c r="H4" s="38" t="s">
        <v>10</v>
      </c>
      <c r="I4" s="20" t="s">
        <v>1</v>
      </c>
      <c r="J4" s="20" t="s">
        <v>11</v>
      </c>
      <c r="K4" s="20" t="s">
        <v>24</v>
      </c>
      <c r="L4" s="20" t="s">
        <v>12</v>
      </c>
      <c r="M4" s="82" t="s">
        <v>2</v>
      </c>
      <c r="N4" s="81" t="s">
        <v>53</v>
      </c>
      <c r="O4" s="81" t="s">
        <v>0</v>
      </c>
      <c r="P4" s="43" t="s">
        <v>3</v>
      </c>
      <c r="Q4" s="20" t="s">
        <v>822</v>
      </c>
      <c r="R4" s="20" t="s">
        <v>823</v>
      </c>
      <c r="S4" s="44" t="s">
        <v>61</v>
      </c>
      <c r="T4" s="44" t="s">
        <v>62</v>
      </c>
      <c r="U4" s="44" t="s">
        <v>827</v>
      </c>
      <c r="V4" s="44" t="s">
        <v>8</v>
      </c>
      <c r="W4" s="44" t="s">
        <v>841</v>
      </c>
      <c r="Y4" s="91" t="s">
        <v>834</v>
      </c>
      <c r="Z4" s="92" t="s">
        <v>799</v>
      </c>
      <c r="AA4" s="92" t="s">
        <v>803</v>
      </c>
      <c r="AB4" s="92" t="s">
        <v>38</v>
      </c>
      <c r="AC4" s="92" t="s">
        <v>7</v>
      </c>
      <c r="AD4" s="93" t="s">
        <v>5</v>
      </c>
      <c r="AE4" s="93" t="s">
        <v>1</v>
      </c>
      <c r="AF4" s="93" t="s">
        <v>11</v>
      </c>
      <c r="AG4" s="93" t="s">
        <v>24</v>
      </c>
      <c r="AH4" s="93" t="s">
        <v>12</v>
      </c>
      <c r="AI4" s="94" t="s">
        <v>2</v>
      </c>
      <c r="AJ4" s="92" t="s">
        <v>53</v>
      </c>
      <c r="AK4" s="92" t="s">
        <v>0</v>
      </c>
      <c r="AL4" s="95" t="s">
        <v>3</v>
      </c>
      <c r="AM4" s="95" t="s">
        <v>822</v>
      </c>
      <c r="AN4" s="95" t="s">
        <v>823</v>
      </c>
      <c r="AO4" s="96" t="s">
        <v>61</v>
      </c>
      <c r="AP4" s="96" t="s">
        <v>62</v>
      </c>
      <c r="AQ4" s="96" t="s">
        <v>827</v>
      </c>
      <c r="AR4" s="96" t="s">
        <v>8</v>
      </c>
    </row>
    <row r="5" spans="3:44" ht="29.25" customHeight="1" x14ac:dyDescent="0.25">
      <c r="C5" s="76" t="s">
        <v>800</v>
      </c>
      <c r="D5" s="76" t="s">
        <v>804</v>
      </c>
      <c r="E5" s="76">
        <v>46132</v>
      </c>
      <c r="F5" s="46" t="s">
        <v>43</v>
      </c>
      <c r="G5" s="46" t="s">
        <v>93</v>
      </c>
      <c r="H5" s="1" t="s">
        <v>28</v>
      </c>
      <c r="I5" s="97">
        <v>46132.347222222219</v>
      </c>
      <c r="J5" s="97">
        <v>46132.375</v>
      </c>
      <c r="K5" s="97">
        <v>46132.381944444445</v>
      </c>
      <c r="L5" s="97">
        <v>46132.395833333336</v>
      </c>
      <c r="M5" s="69"/>
      <c r="N5" s="67" t="s">
        <v>28</v>
      </c>
      <c r="O5" s="77" t="s">
        <v>52</v>
      </c>
      <c r="P5" s="46" t="s">
        <v>58</v>
      </c>
      <c r="Q5" s="46">
        <v>419064</v>
      </c>
      <c r="R5" s="46">
        <v>419067</v>
      </c>
      <c r="S5" s="84" t="s">
        <v>832</v>
      </c>
      <c r="T5" s="84" t="s">
        <v>832</v>
      </c>
      <c r="U5" s="6"/>
      <c r="V5" s="6" t="s">
        <v>833</v>
      </c>
      <c r="W5" s="6"/>
      <c r="Y5" s="117" t="s">
        <v>817</v>
      </c>
      <c r="Z5" s="36" t="str">
        <f t="shared" ref="Z5:AC9" si="0">+C5</f>
        <v>HHHK</v>
      </c>
      <c r="AA5" s="36" t="str">
        <f t="shared" si="0"/>
        <v>ASG1</v>
      </c>
      <c r="AB5" s="36">
        <f t="shared" si="0"/>
        <v>46132</v>
      </c>
      <c r="AC5" s="36" t="str">
        <f t="shared" si="0"/>
        <v>20C04357</v>
      </c>
      <c r="AD5" s="36" t="str">
        <f>+G5&amp;" "&amp;H5</f>
        <v>ASG ALSC</v>
      </c>
      <c r="AE5" s="100">
        <v>46132.347222222219</v>
      </c>
      <c r="AF5" s="100">
        <v>46132.375</v>
      </c>
      <c r="AG5" s="100">
        <v>46132.381944444445</v>
      </c>
      <c r="AH5" s="100">
        <v>46132.395833333336</v>
      </c>
      <c r="AI5" s="1"/>
      <c r="AJ5" s="75" t="str">
        <f>+N5</f>
        <v>ALSC</v>
      </c>
      <c r="AK5" s="75" t="str">
        <f t="shared" ref="AK5:AN5" si="1">+O5</f>
        <v>EI</v>
      </c>
      <c r="AL5" s="75" t="str">
        <f t="shared" si="1"/>
        <v>Đặng Ngọc Lợi</v>
      </c>
      <c r="AM5" s="50">
        <f t="shared" si="1"/>
        <v>419064</v>
      </c>
      <c r="AN5" s="50">
        <f t="shared" si="1"/>
        <v>419067</v>
      </c>
      <c r="AO5" s="6"/>
      <c r="AP5" s="6"/>
      <c r="AQ5" s="6"/>
      <c r="AR5" s="6"/>
    </row>
    <row r="6" spans="3:44" ht="29.25" customHeight="1" x14ac:dyDescent="0.25">
      <c r="C6" s="76" t="s">
        <v>800</v>
      </c>
      <c r="D6" s="76" t="s">
        <v>805</v>
      </c>
      <c r="E6" s="76">
        <v>46132</v>
      </c>
      <c r="F6" s="46" t="s">
        <v>43</v>
      </c>
      <c r="G6" s="46" t="s">
        <v>93</v>
      </c>
      <c r="H6" s="1" t="s">
        <v>54</v>
      </c>
      <c r="I6" s="97">
        <v>46132.420138888891</v>
      </c>
      <c r="J6" s="97">
        <v>46132.46875</v>
      </c>
      <c r="K6" s="97">
        <v>46132.475694444445</v>
      </c>
      <c r="L6" s="97">
        <v>46132.555555555555</v>
      </c>
      <c r="M6" s="69"/>
      <c r="N6" s="67" t="s">
        <v>54</v>
      </c>
      <c r="O6" s="77" t="s">
        <v>52</v>
      </c>
      <c r="P6" s="46" t="s">
        <v>58</v>
      </c>
      <c r="Q6" s="46">
        <v>419070</v>
      </c>
      <c r="R6" s="46">
        <v>419073</v>
      </c>
      <c r="S6" s="1"/>
      <c r="T6" s="6"/>
      <c r="U6" s="6"/>
      <c r="V6" s="6"/>
      <c r="W6" s="6"/>
      <c r="Y6" s="118"/>
      <c r="Z6" s="36" t="str">
        <f t="shared" si="0"/>
        <v>HHHK</v>
      </c>
      <c r="AA6" s="36" t="str">
        <f t="shared" si="0"/>
        <v>ASG2</v>
      </c>
      <c r="AB6" s="36">
        <f t="shared" si="0"/>
        <v>46132</v>
      </c>
      <c r="AC6" s="36" t="str">
        <f t="shared" si="0"/>
        <v>20C04357</v>
      </c>
      <c r="AD6" s="36" t="str">
        <f>+G6&amp;" "&amp;H6</f>
        <v>ASG ACSV</v>
      </c>
      <c r="AE6" s="100">
        <v>46132.420138888891</v>
      </c>
      <c r="AF6" s="100">
        <v>46132.46875</v>
      </c>
      <c r="AG6" s="100">
        <v>46132.475694444445</v>
      </c>
      <c r="AH6" s="100">
        <v>46132.555555555555</v>
      </c>
      <c r="AI6" s="1"/>
      <c r="AJ6" s="75" t="str">
        <f t="shared" ref="AJ6:AJ9" si="2">+N6</f>
        <v>ACSV</v>
      </c>
      <c r="AK6" s="75" t="str">
        <f t="shared" ref="AK6:AK9" si="3">+O6</f>
        <v>EI</v>
      </c>
      <c r="AL6" s="75" t="str">
        <f t="shared" ref="AL6:AL9" si="4">+P6</f>
        <v>Đặng Ngọc Lợi</v>
      </c>
      <c r="AM6" s="50">
        <f t="shared" ref="AM6:AM9" si="5">+Q6</f>
        <v>419070</v>
      </c>
      <c r="AN6" s="50">
        <f t="shared" ref="AN6:AN9" si="6">+R6</f>
        <v>419073</v>
      </c>
      <c r="AO6" s="6"/>
      <c r="AP6" s="6"/>
      <c r="AQ6" s="6"/>
      <c r="AR6" s="6"/>
    </row>
    <row r="7" spans="3:44" ht="29.25" customHeight="1" x14ac:dyDescent="0.25">
      <c r="C7" s="76" t="s">
        <v>800</v>
      </c>
      <c r="D7" s="76" t="s">
        <v>806</v>
      </c>
      <c r="E7" s="76">
        <v>46132</v>
      </c>
      <c r="F7" s="46" t="s">
        <v>43</v>
      </c>
      <c r="G7" s="46" t="s">
        <v>93</v>
      </c>
      <c r="H7" s="1" t="s">
        <v>54</v>
      </c>
      <c r="I7" s="97">
        <v>46132.5625</v>
      </c>
      <c r="J7" s="97">
        <v>46132.572916666664</v>
      </c>
      <c r="K7" s="97">
        <v>46132.579861111109</v>
      </c>
      <c r="L7" s="97">
        <v>46132.611111111109</v>
      </c>
      <c r="M7" s="70"/>
      <c r="N7" s="67" t="s">
        <v>54</v>
      </c>
      <c r="O7" s="77" t="s">
        <v>52</v>
      </c>
      <c r="P7" s="46" t="s">
        <v>58</v>
      </c>
      <c r="Q7" s="46">
        <v>419076</v>
      </c>
      <c r="R7" s="46">
        <v>419079</v>
      </c>
      <c r="S7" s="1"/>
      <c r="T7" s="6"/>
      <c r="U7" s="6"/>
      <c r="V7" s="6"/>
      <c r="W7" s="6"/>
      <c r="Y7" s="118"/>
      <c r="Z7" s="36" t="str">
        <f t="shared" si="0"/>
        <v>HHHK</v>
      </c>
      <c r="AA7" s="36" t="str">
        <f t="shared" si="0"/>
        <v>ASG3</v>
      </c>
      <c r="AB7" s="36">
        <f t="shared" si="0"/>
        <v>46132</v>
      </c>
      <c r="AC7" s="36" t="str">
        <f t="shared" si="0"/>
        <v>20C04357</v>
      </c>
      <c r="AD7" s="36" t="str">
        <f>+G7&amp;" "&amp;H7</f>
        <v>ASG ACSV</v>
      </c>
      <c r="AE7" s="100">
        <v>46132.5625</v>
      </c>
      <c r="AF7" s="100">
        <v>46132.572916666664</v>
      </c>
      <c r="AG7" s="100">
        <v>46132.579861111109</v>
      </c>
      <c r="AH7" s="100">
        <v>46132.611111111109</v>
      </c>
      <c r="AI7" s="1"/>
      <c r="AJ7" s="75" t="str">
        <f t="shared" si="2"/>
        <v>ACSV</v>
      </c>
      <c r="AK7" s="75" t="str">
        <f t="shared" si="3"/>
        <v>EI</v>
      </c>
      <c r="AL7" s="75" t="str">
        <f t="shared" si="4"/>
        <v>Đặng Ngọc Lợi</v>
      </c>
      <c r="AM7" s="50">
        <f t="shared" si="5"/>
        <v>419076</v>
      </c>
      <c r="AN7" s="50">
        <f t="shared" si="6"/>
        <v>419079</v>
      </c>
      <c r="AO7" s="6"/>
      <c r="AP7" s="6"/>
      <c r="AQ7" s="6"/>
      <c r="AR7" s="6"/>
    </row>
    <row r="8" spans="3:44" ht="29.25" customHeight="1" x14ac:dyDescent="0.25">
      <c r="C8" s="76" t="s">
        <v>800</v>
      </c>
      <c r="D8" s="76" t="s">
        <v>807</v>
      </c>
      <c r="E8" s="76">
        <v>46132</v>
      </c>
      <c r="F8" s="46" t="s">
        <v>43</v>
      </c>
      <c r="G8" s="46" t="s">
        <v>70</v>
      </c>
      <c r="H8" s="1" t="s">
        <v>6</v>
      </c>
      <c r="I8" s="97">
        <v>46132.645833333336</v>
      </c>
      <c r="J8" s="97">
        <v>46132.697916666664</v>
      </c>
      <c r="K8" s="97">
        <v>46132.725694444445</v>
      </c>
      <c r="L8" s="97">
        <v>46134.75</v>
      </c>
      <c r="M8" s="69"/>
      <c r="N8" s="67" t="s">
        <v>54</v>
      </c>
      <c r="O8" s="77" t="s">
        <v>50</v>
      </c>
      <c r="P8" s="46" t="s">
        <v>58</v>
      </c>
      <c r="Q8" s="46">
        <v>419082</v>
      </c>
      <c r="R8" s="46">
        <v>419117</v>
      </c>
      <c r="S8" s="1"/>
      <c r="T8" s="6"/>
      <c r="U8" s="6"/>
      <c r="V8" s="6"/>
      <c r="W8" s="6"/>
      <c r="Y8" s="118"/>
      <c r="Z8" s="36" t="str">
        <f t="shared" si="0"/>
        <v>HHHK</v>
      </c>
      <c r="AA8" s="36" t="str">
        <f t="shared" si="0"/>
        <v>ASG4</v>
      </c>
      <c r="AB8" s="36">
        <f t="shared" si="0"/>
        <v>46132</v>
      </c>
      <c r="AC8" s="36" t="str">
        <f t="shared" si="0"/>
        <v>20C04357</v>
      </c>
      <c r="AD8" s="36" t="str">
        <f>+G8&amp;" "&amp;H8</f>
        <v>NBA ALSB</v>
      </c>
      <c r="AE8" s="100">
        <v>46132.645833333336</v>
      </c>
      <c r="AF8" s="100">
        <v>46132.697916666664</v>
      </c>
      <c r="AG8" s="100">
        <v>46132.725694444445</v>
      </c>
      <c r="AH8" s="100">
        <v>46134.75</v>
      </c>
      <c r="AI8" s="1"/>
      <c r="AJ8" s="75" t="str">
        <f t="shared" si="2"/>
        <v>ACSV</v>
      </c>
      <c r="AK8" s="75" t="str">
        <f t="shared" si="3"/>
        <v/>
      </c>
      <c r="AL8" s="75" t="str">
        <f t="shared" si="4"/>
        <v>Đặng Ngọc Lợi</v>
      </c>
      <c r="AM8" s="50">
        <f t="shared" si="5"/>
        <v>419082</v>
      </c>
      <c r="AN8" s="50">
        <f t="shared" si="6"/>
        <v>419117</v>
      </c>
      <c r="AO8" s="6"/>
      <c r="AP8" s="6"/>
      <c r="AQ8" s="6"/>
      <c r="AR8" s="6"/>
    </row>
    <row r="9" spans="3:44" ht="29.25" customHeight="1" x14ac:dyDescent="0.25">
      <c r="C9" s="76" t="s">
        <v>800</v>
      </c>
      <c r="D9" s="76" t="s">
        <v>808</v>
      </c>
      <c r="E9" s="76">
        <v>46132</v>
      </c>
      <c r="F9" s="46" t="s">
        <v>43</v>
      </c>
      <c r="G9" s="46" t="s">
        <v>6</v>
      </c>
      <c r="H9" s="1" t="s">
        <v>70</v>
      </c>
      <c r="I9" s="97">
        <v>46132.8125</v>
      </c>
      <c r="J9" s="97">
        <v>46132.878472222219</v>
      </c>
      <c r="K9" s="97">
        <v>46132.902777777781</v>
      </c>
      <c r="L9" s="97">
        <v>46133.913194444445</v>
      </c>
      <c r="M9" s="70"/>
      <c r="N9" s="67" t="s">
        <v>28</v>
      </c>
      <c r="O9" s="77" t="s">
        <v>50</v>
      </c>
      <c r="P9" s="46" t="s">
        <v>58</v>
      </c>
      <c r="Q9" s="46">
        <v>419117</v>
      </c>
      <c r="R9" s="46">
        <v>419144</v>
      </c>
      <c r="S9" s="1"/>
      <c r="T9" s="6"/>
      <c r="U9" s="6"/>
      <c r="V9" s="6"/>
      <c r="W9" s="6"/>
      <c r="Y9" s="118"/>
      <c r="Z9" s="36" t="str">
        <f t="shared" si="0"/>
        <v>HHHK</v>
      </c>
      <c r="AA9" s="36" t="str">
        <f t="shared" si="0"/>
        <v>ASG5</v>
      </c>
      <c r="AB9" s="36">
        <f t="shared" si="0"/>
        <v>46132</v>
      </c>
      <c r="AC9" s="36" t="str">
        <f t="shared" si="0"/>
        <v>20C04357</v>
      </c>
      <c r="AD9" s="36" t="str">
        <f>+G9&amp;" "&amp;H9</f>
        <v>ALSB NBA</v>
      </c>
      <c r="AE9" s="100">
        <v>46132.8125</v>
      </c>
      <c r="AF9" s="100">
        <v>46132.878472222219</v>
      </c>
      <c r="AG9" s="100">
        <v>46132.902777777781</v>
      </c>
      <c r="AH9" s="100">
        <v>46133.913194444445</v>
      </c>
      <c r="AI9" s="1"/>
      <c r="AJ9" s="75" t="str">
        <f t="shared" si="2"/>
        <v>ALSC</v>
      </c>
      <c r="AK9" s="75" t="str">
        <f t="shared" si="3"/>
        <v/>
      </c>
      <c r="AL9" s="75" t="str">
        <f t="shared" si="4"/>
        <v>Đặng Ngọc Lợi</v>
      </c>
      <c r="AM9" s="50">
        <f t="shared" si="5"/>
        <v>419117</v>
      </c>
      <c r="AN9" s="50">
        <f t="shared" si="6"/>
        <v>419144</v>
      </c>
      <c r="AO9" s="6"/>
      <c r="AP9" s="6"/>
      <c r="AQ9" s="6"/>
      <c r="AR9" s="6"/>
    </row>
    <row r="10" spans="3:44" x14ac:dyDescent="0.25">
      <c r="C10" s="65"/>
      <c r="D10" s="65"/>
      <c r="E10" s="65"/>
      <c r="F10" s="14"/>
      <c r="G10" s="14"/>
      <c r="I10" s="98"/>
      <c r="J10" s="98"/>
      <c r="K10" s="98"/>
      <c r="L10" s="98"/>
      <c r="M10" s="71"/>
      <c r="N10" s="17"/>
      <c r="O10" s="66"/>
      <c r="P10" s="14"/>
      <c r="Q10" s="14"/>
      <c r="R10" s="14"/>
      <c r="Z10" s="68"/>
      <c r="AA10" s="68"/>
      <c r="AB10" s="68"/>
      <c r="AC10" s="68"/>
      <c r="AD10" s="68"/>
      <c r="AE10" s="103"/>
      <c r="AF10" s="103"/>
      <c r="AG10" s="103"/>
      <c r="AH10" s="103"/>
      <c r="AI10" s="68"/>
      <c r="AJ10" s="68"/>
      <c r="AK10" s="68"/>
      <c r="AL10" s="68"/>
      <c r="AM10" s="68"/>
      <c r="AN10" s="68"/>
    </row>
    <row r="11" spans="3:44" x14ac:dyDescent="0.25">
      <c r="D11" s="68"/>
      <c r="E11" s="68"/>
      <c r="F11" s="68"/>
      <c r="G11" s="68"/>
      <c r="H11" s="68"/>
      <c r="I11" s="103"/>
      <c r="J11" s="103"/>
      <c r="K11" s="103"/>
      <c r="L11" s="103"/>
      <c r="M11" s="68"/>
      <c r="N11" s="68"/>
      <c r="O11" s="68"/>
      <c r="P11" s="68"/>
      <c r="Q11" s="68"/>
      <c r="R11" s="68"/>
      <c r="Z11" s="68"/>
      <c r="AA11" s="68"/>
      <c r="AB11" s="68"/>
      <c r="AC11" s="68"/>
      <c r="AD11" s="68"/>
      <c r="AE11" s="103"/>
      <c r="AF11" s="103"/>
      <c r="AG11" s="103"/>
      <c r="AH11" s="103"/>
      <c r="AI11" s="68"/>
      <c r="AJ11" s="68"/>
      <c r="AK11" s="68"/>
      <c r="AL11" s="68"/>
      <c r="AM11" s="68"/>
      <c r="AN11" s="68"/>
    </row>
    <row r="12" spans="3:44" ht="15.75" x14ac:dyDescent="0.25">
      <c r="C12" s="122" t="s">
        <v>839</v>
      </c>
      <c r="D12" s="122"/>
      <c r="E12" s="122"/>
      <c r="F12" s="122"/>
      <c r="G12" s="122"/>
      <c r="H12" s="122"/>
      <c r="I12" s="122"/>
      <c r="J12" s="122"/>
      <c r="K12" s="122"/>
      <c r="L12" s="122"/>
      <c r="M12" s="122"/>
      <c r="N12" s="122"/>
      <c r="O12" s="122"/>
      <c r="P12" s="122"/>
      <c r="Q12" s="122"/>
      <c r="R12" s="122"/>
      <c r="S12" s="122"/>
      <c r="T12" s="122"/>
      <c r="U12" s="122"/>
      <c r="V12" s="122"/>
      <c r="W12" s="122"/>
      <c r="Z12" s="68"/>
      <c r="AA12" s="68"/>
      <c r="AB12" s="68"/>
      <c r="AC12" s="68"/>
      <c r="AD12" s="68"/>
      <c r="AE12" s="103"/>
      <c r="AF12" s="103"/>
      <c r="AG12" s="103"/>
      <c r="AH12" s="103"/>
      <c r="AI12" s="68"/>
      <c r="AJ12" s="68"/>
      <c r="AK12" s="68"/>
      <c r="AL12" s="68"/>
      <c r="AM12" s="68"/>
      <c r="AN12" s="68"/>
    </row>
    <row r="13" spans="3:44" ht="60" x14ac:dyDescent="0.25">
      <c r="C13" s="39" t="s">
        <v>801</v>
      </c>
      <c r="D13" s="39" t="s">
        <v>809</v>
      </c>
      <c r="E13" s="39">
        <v>46112</v>
      </c>
      <c r="F13" s="40" t="s">
        <v>17</v>
      </c>
      <c r="G13" s="2" t="s">
        <v>18</v>
      </c>
      <c r="H13" s="2" t="s">
        <v>19</v>
      </c>
      <c r="I13" s="99">
        <v>46132.625</v>
      </c>
      <c r="J13" s="99">
        <v>46132.652777777781</v>
      </c>
      <c r="K13" s="99">
        <v>46132.690972222219</v>
      </c>
      <c r="L13" s="99">
        <v>46132.722222222219</v>
      </c>
      <c r="M13" s="83" t="s">
        <v>25</v>
      </c>
      <c r="N13" s="42"/>
      <c r="O13" s="42"/>
      <c r="P13" s="40" t="s">
        <v>75</v>
      </c>
      <c r="Q13" s="40">
        <v>359298</v>
      </c>
      <c r="R13" s="40">
        <v>359354</v>
      </c>
      <c r="S13" s="40">
        <v>10</v>
      </c>
      <c r="T13" s="2" t="s">
        <v>831</v>
      </c>
      <c r="U13" s="40" t="s">
        <v>829</v>
      </c>
      <c r="V13" s="40">
        <v>10</v>
      </c>
      <c r="W13" s="40"/>
      <c r="Y13" s="115" t="s">
        <v>836</v>
      </c>
      <c r="Z13" s="36" t="str">
        <f t="shared" ref="Z13:AC14" si="7">+C13</f>
        <v>Hàng ngoài</v>
      </c>
      <c r="AA13" s="36" t="str">
        <f t="shared" si="7"/>
        <v>ASG6</v>
      </c>
      <c r="AB13" s="36">
        <f t="shared" si="7"/>
        <v>46112</v>
      </c>
      <c r="AC13" s="36" t="str">
        <f t="shared" si="7"/>
        <v>99H01503</v>
      </c>
      <c r="AD13" s="1" t="s">
        <v>815</v>
      </c>
      <c r="AE13" s="100">
        <f t="shared" ref="AE13:AI14" si="8">+I13</f>
        <v>46132.625</v>
      </c>
      <c r="AF13" s="100">
        <f t="shared" si="8"/>
        <v>46132.652777777781</v>
      </c>
      <c r="AG13" s="100">
        <f t="shared" si="8"/>
        <v>46132.690972222219</v>
      </c>
      <c r="AH13" s="100">
        <f t="shared" si="8"/>
        <v>46132.722222222219</v>
      </c>
      <c r="AI13" s="50" t="str">
        <f t="shared" si="8"/>
        <v>SAFO</v>
      </c>
      <c r="AJ13" s="50"/>
      <c r="AK13" s="50"/>
      <c r="AL13" s="75" t="str">
        <f t="shared" ref="AL13" si="9">+P13</f>
        <v>Dương Văn Bộ</v>
      </c>
      <c r="AM13" s="50">
        <f t="shared" ref="AM13" si="10">+Q13</f>
        <v>359298</v>
      </c>
      <c r="AN13" s="50">
        <f t="shared" ref="AN13" si="11">+R13</f>
        <v>359354</v>
      </c>
      <c r="AO13" s="6"/>
      <c r="AP13" s="6"/>
      <c r="AQ13" s="6"/>
      <c r="AR13" s="6"/>
    </row>
    <row r="14" spans="3:44" ht="45" x14ac:dyDescent="0.25">
      <c r="C14" s="39" t="s">
        <v>801</v>
      </c>
      <c r="D14" s="39" t="s">
        <v>810</v>
      </c>
      <c r="E14" s="36">
        <v>46112</v>
      </c>
      <c r="F14" s="1" t="s">
        <v>21</v>
      </c>
      <c r="G14" s="3" t="s">
        <v>18</v>
      </c>
      <c r="H14" s="3" t="s">
        <v>19</v>
      </c>
      <c r="I14" s="100">
        <v>46132.625</v>
      </c>
      <c r="J14" s="100">
        <v>46132.625</v>
      </c>
      <c r="K14" s="100">
        <v>46132.701388888891</v>
      </c>
      <c r="L14" s="100">
        <v>46132.722222222219</v>
      </c>
      <c r="M14" s="33" t="s">
        <v>25</v>
      </c>
      <c r="N14" s="6"/>
      <c r="O14" s="6"/>
      <c r="P14" s="49" t="s">
        <v>76</v>
      </c>
      <c r="Q14" s="50">
        <v>133180</v>
      </c>
      <c r="R14" s="50">
        <v>133237</v>
      </c>
      <c r="S14" s="1">
        <v>5</v>
      </c>
      <c r="T14" s="1"/>
      <c r="U14" s="1" t="s">
        <v>830</v>
      </c>
      <c r="V14" s="1">
        <v>8</v>
      </c>
      <c r="W14" s="1"/>
      <c r="Y14" s="116"/>
      <c r="Z14" s="36" t="str">
        <f t="shared" si="7"/>
        <v>Hàng ngoài</v>
      </c>
      <c r="AA14" s="36" t="str">
        <f t="shared" si="7"/>
        <v>ASG7</v>
      </c>
      <c r="AB14" s="36">
        <f t="shared" si="7"/>
        <v>46112</v>
      </c>
      <c r="AC14" s="36" t="str">
        <f t="shared" si="7"/>
        <v>29E12452</v>
      </c>
      <c r="AD14" s="1" t="s">
        <v>815</v>
      </c>
      <c r="AE14" s="100">
        <f t="shared" si="8"/>
        <v>46132.625</v>
      </c>
      <c r="AF14" s="100">
        <f t="shared" si="8"/>
        <v>46132.625</v>
      </c>
      <c r="AG14" s="100">
        <f t="shared" si="8"/>
        <v>46132.701388888891</v>
      </c>
      <c r="AH14" s="100">
        <f t="shared" si="8"/>
        <v>46132.722222222219</v>
      </c>
      <c r="AI14" s="50" t="str">
        <f t="shared" si="8"/>
        <v>SAFO</v>
      </c>
      <c r="AJ14" s="50"/>
      <c r="AK14" s="50"/>
      <c r="AL14" s="75" t="str">
        <f t="shared" ref="AL14" si="12">+P14</f>
        <v>Giáp Văn Định</v>
      </c>
      <c r="AM14" s="50">
        <f t="shared" ref="AM14" si="13">+Q14</f>
        <v>133180</v>
      </c>
      <c r="AN14" s="50">
        <f t="shared" ref="AN14" si="14">+R14</f>
        <v>133237</v>
      </c>
      <c r="AO14" s="6"/>
      <c r="AP14" s="6"/>
      <c r="AQ14" s="6"/>
      <c r="AR14" s="6"/>
    </row>
    <row r="15" spans="3:44" x14ac:dyDescent="0.25">
      <c r="C15" s="62"/>
      <c r="D15" s="62"/>
      <c r="E15" s="85"/>
      <c r="F15" s="86"/>
      <c r="G15" s="87"/>
      <c r="H15" s="87"/>
      <c r="I15" s="101"/>
      <c r="J15" s="101"/>
      <c r="K15" s="101"/>
      <c r="L15" s="101"/>
      <c r="P15" s="63"/>
      <c r="Q15" s="64"/>
      <c r="R15" s="64"/>
      <c r="Z15" s="68"/>
      <c r="AA15" s="68"/>
      <c r="AB15" s="68"/>
      <c r="AC15" s="68"/>
      <c r="AD15" s="68"/>
      <c r="AE15" s="103"/>
      <c r="AF15" s="103"/>
      <c r="AG15" s="103"/>
      <c r="AH15" s="103"/>
      <c r="AI15" s="64"/>
      <c r="AJ15" s="64"/>
      <c r="AK15" s="64"/>
      <c r="AL15" s="68"/>
      <c r="AM15" s="68"/>
      <c r="AN15" s="68"/>
    </row>
    <row r="16" spans="3:44" ht="15.75" x14ac:dyDescent="0.25">
      <c r="C16" s="121"/>
      <c r="D16" s="121"/>
      <c r="E16" s="121"/>
      <c r="F16" s="121"/>
      <c r="G16" s="121"/>
      <c r="H16" s="121"/>
      <c r="I16" s="121"/>
      <c r="J16" s="121"/>
      <c r="K16" s="121"/>
      <c r="L16" s="121"/>
      <c r="M16" s="121"/>
      <c r="N16" s="121"/>
      <c r="O16" s="121"/>
      <c r="P16" s="121"/>
      <c r="Q16" s="121"/>
      <c r="R16" s="121"/>
      <c r="S16" s="121"/>
      <c r="T16" s="121"/>
      <c r="U16" s="121"/>
      <c r="V16" s="121"/>
      <c r="W16" s="121"/>
      <c r="Z16" s="68"/>
      <c r="AA16" s="68"/>
      <c r="AB16" s="68"/>
      <c r="AC16" s="68"/>
      <c r="AD16" s="68"/>
      <c r="AE16" s="103"/>
      <c r="AF16" s="103"/>
      <c r="AG16" s="103"/>
      <c r="AH16" s="103"/>
      <c r="AI16" s="64"/>
      <c r="AJ16" s="64"/>
      <c r="AK16" s="64"/>
      <c r="AL16" s="68"/>
      <c r="AM16" s="68"/>
      <c r="AN16" s="68"/>
    </row>
    <row r="17" spans="3:44" ht="15.75" x14ac:dyDescent="0.25">
      <c r="C17" s="122" t="s">
        <v>840</v>
      </c>
      <c r="D17" s="122"/>
      <c r="E17" s="122"/>
      <c r="F17" s="122"/>
      <c r="G17" s="122"/>
      <c r="H17" s="122"/>
      <c r="I17" s="122"/>
      <c r="J17" s="122"/>
      <c r="K17" s="122"/>
      <c r="L17" s="122"/>
      <c r="M17" s="122"/>
      <c r="N17" s="122"/>
      <c r="O17" s="122"/>
      <c r="P17" s="122"/>
      <c r="Q17" s="122"/>
      <c r="R17" s="122"/>
      <c r="S17" s="122"/>
      <c r="T17" s="122"/>
      <c r="U17" s="122"/>
      <c r="V17" s="122"/>
      <c r="W17" s="122"/>
      <c r="Z17" s="68"/>
      <c r="AA17" s="68"/>
      <c r="AB17" s="68"/>
      <c r="AC17" s="68"/>
      <c r="AD17" s="68"/>
      <c r="AE17" s="103"/>
      <c r="AF17" s="103"/>
      <c r="AG17" s="103"/>
      <c r="AH17" s="103"/>
      <c r="AI17" s="64"/>
      <c r="AJ17" s="64"/>
      <c r="AK17" s="64"/>
      <c r="AL17" s="68"/>
      <c r="AM17" s="68"/>
      <c r="AN17" s="68"/>
    </row>
    <row r="18" spans="3:44" ht="35.1" customHeight="1" x14ac:dyDescent="0.25">
      <c r="C18" s="39" t="s">
        <v>801</v>
      </c>
      <c r="D18" s="39" t="s">
        <v>811</v>
      </c>
      <c r="E18" s="39">
        <v>46116</v>
      </c>
      <c r="F18" s="40" t="s">
        <v>26</v>
      </c>
      <c r="G18" s="2" t="s">
        <v>27</v>
      </c>
      <c r="H18" s="2" t="s">
        <v>31</v>
      </c>
      <c r="I18" s="99">
        <v>46132.5625</v>
      </c>
      <c r="J18" s="99">
        <v>46132.5625</v>
      </c>
      <c r="K18" s="99">
        <v>46132.631944444445</v>
      </c>
      <c r="L18" s="99">
        <v>46132.673611111109</v>
      </c>
      <c r="M18" s="83" t="s">
        <v>25</v>
      </c>
      <c r="N18" s="42"/>
      <c r="O18" s="42"/>
      <c r="P18" s="88" t="s">
        <v>76</v>
      </c>
      <c r="Q18" s="89">
        <v>133180</v>
      </c>
      <c r="R18" s="89">
        <v>133237</v>
      </c>
      <c r="S18" s="90"/>
      <c r="T18" s="42"/>
      <c r="U18" s="42">
        <v>5</v>
      </c>
      <c r="V18" s="42">
        <v>8</v>
      </c>
      <c r="W18" s="42"/>
      <c r="Y18" s="119" t="s">
        <v>837</v>
      </c>
      <c r="Z18" s="36" t="str">
        <f>+C18</f>
        <v>Hàng ngoài</v>
      </c>
      <c r="AA18" s="36" t="str">
        <f>+D18</f>
        <v>ASG8</v>
      </c>
      <c r="AB18" s="36">
        <f>+E18</f>
        <v>46116</v>
      </c>
      <c r="AC18" s="36" t="str">
        <f>+F18</f>
        <v>99H00902</v>
      </c>
      <c r="AD18" s="1" t="s">
        <v>816</v>
      </c>
      <c r="AE18" s="100">
        <f>+I18</f>
        <v>46132.5625</v>
      </c>
      <c r="AF18" s="100">
        <f>+J18</f>
        <v>46132.5625</v>
      </c>
      <c r="AG18" s="100">
        <f>+K18</f>
        <v>46132.631944444445</v>
      </c>
      <c r="AH18" s="100">
        <f>+L20</f>
        <v>46133.076388888891</v>
      </c>
      <c r="AI18" s="50" t="str">
        <f>+M18</f>
        <v>SAFO</v>
      </c>
      <c r="AJ18" s="50"/>
      <c r="AK18" s="50"/>
      <c r="AL18" s="75" t="str">
        <f t="shared" ref="AL18" si="15">+P18</f>
        <v>Giáp Văn Định</v>
      </c>
      <c r="AM18" s="50">
        <f t="shared" ref="AM18" si="16">+Q18</f>
        <v>133180</v>
      </c>
      <c r="AN18" s="50">
        <f t="shared" ref="AN18" si="17">+R18</f>
        <v>133237</v>
      </c>
      <c r="AO18" s="6"/>
      <c r="AP18" s="6"/>
      <c r="AQ18" s="6"/>
      <c r="AR18" s="6"/>
    </row>
    <row r="19" spans="3:44" ht="35.1" customHeight="1" x14ac:dyDescent="0.25">
      <c r="C19" s="39" t="s">
        <v>801</v>
      </c>
      <c r="D19" s="39" t="s">
        <v>811</v>
      </c>
      <c r="E19" s="36">
        <v>46116</v>
      </c>
      <c r="F19" s="1"/>
      <c r="G19" s="3"/>
      <c r="H19" s="3" t="s">
        <v>32</v>
      </c>
      <c r="I19" s="100">
        <v>46132.736111111109</v>
      </c>
      <c r="J19" s="100">
        <v>46132.736111111109</v>
      </c>
      <c r="K19" s="100">
        <v>46132.736111111109</v>
      </c>
      <c r="L19" s="100">
        <v>46132.743055555555</v>
      </c>
      <c r="M19" s="33" t="s">
        <v>25</v>
      </c>
      <c r="N19" s="6"/>
      <c r="O19" s="6"/>
      <c r="P19" s="49" t="s">
        <v>76</v>
      </c>
      <c r="Q19" s="50">
        <v>133237</v>
      </c>
      <c r="R19" s="73">
        <v>133240</v>
      </c>
      <c r="S19" s="6"/>
      <c r="T19" s="6"/>
      <c r="U19" s="6">
        <v>5</v>
      </c>
      <c r="V19" s="6">
        <v>8</v>
      </c>
      <c r="W19" s="6"/>
      <c r="Y19" s="120"/>
      <c r="Z19" s="36" t="str">
        <f t="shared" ref="Z19:Z20" si="18">+C19</f>
        <v>Hàng ngoài</v>
      </c>
      <c r="AA19" s="36" t="str">
        <f>+D21</f>
        <v>ASG9</v>
      </c>
      <c r="AB19" s="36">
        <f>+E21</f>
        <v>46118</v>
      </c>
      <c r="AC19" s="36" t="str">
        <f>+F21</f>
        <v>99H01503</v>
      </c>
      <c r="AD19" s="36" t="s">
        <v>74</v>
      </c>
      <c r="AE19" s="100">
        <f>+I21</f>
        <v>46132.5625</v>
      </c>
      <c r="AF19" s="100">
        <f>+J21</f>
        <v>46132.5625</v>
      </c>
      <c r="AG19" s="100">
        <f>+K21</f>
        <v>46132.663194444445</v>
      </c>
      <c r="AH19" s="100">
        <f>+L22</f>
        <v>46132.78125</v>
      </c>
      <c r="AI19" s="37" t="str">
        <f>+M21</f>
        <v>SAFO</v>
      </c>
      <c r="AJ19" s="37"/>
      <c r="AK19" s="37"/>
      <c r="AL19" s="37" t="str">
        <f>+P21</f>
        <v>Đặng Ngọc Lợi</v>
      </c>
      <c r="AM19" s="50">
        <f>+Q21</f>
        <v>359298</v>
      </c>
      <c r="AN19" s="50">
        <f>+R21</f>
        <v>359354</v>
      </c>
      <c r="AO19" s="6"/>
      <c r="AP19" s="6"/>
      <c r="AQ19" s="6"/>
      <c r="AR19" s="6"/>
    </row>
    <row r="20" spans="3:44" ht="35.1" customHeight="1" x14ac:dyDescent="0.25">
      <c r="C20" s="39" t="s">
        <v>801</v>
      </c>
      <c r="D20" s="39" t="s">
        <v>811</v>
      </c>
      <c r="E20" s="36">
        <v>46116</v>
      </c>
      <c r="F20" s="1"/>
      <c r="G20" s="3"/>
      <c r="H20" s="3" t="s">
        <v>33</v>
      </c>
      <c r="I20" s="100">
        <v>46132.861111111109</v>
      </c>
      <c r="J20" s="100">
        <v>46132.861111111109</v>
      </c>
      <c r="K20" s="100">
        <v>46132.861111111109</v>
      </c>
      <c r="L20" s="100">
        <v>46133.076388888891</v>
      </c>
      <c r="M20" s="33" t="s">
        <v>25</v>
      </c>
      <c r="N20" s="6"/>
      <c r="O20" s="6"/>
      <c r="P20" s="49" t="s">
        <v>76</v>
      </c>
      <c r="Q20" s="73">
        <v>133240</v>
      </c>
      <c r="R20" s="73">
        <v>133280</v>
      </c>
      <c r="S20" s="6"/>
      <c r="T20" s="6"/>
      <c r="U20" s="6">
        <v>5</v>
      </c>
      <c r="V20" s="6">
        <v>8</v>
      </c>
      <c r="W20" s="6"/>
      <c r="Y20" s="120"/>
      <c r="Z20" s="36" t="str">
        <f t="shared" si="18"/>
        <v>Hàng ngoài</v>
      </c>
      <c r="AA20" s="36" t="str">
        <f>+D23</f>
        <v>ASG10</v>
      </c>
      <c r="AB20" s="36">
        <f>+E23</f>
        <v>46118</v>
      </c>
      <c r="AC20" s="36" t="str">
        <f>+F23</f>
        <v>20C04937</v>
      </c>
      <c r="AD20" s="36" t="s">
        <v>74</v>
      </c>
      <c r="AE20" s="100">
        <f>I23</f>
        <v>46132.583333333336</v>
      </c>
      <c r="AF20" s="100">
        <f t="shared" ref="AF20:AG20" si="19">J23</f>
        <v>46132.583333333336</v>
      </c>
      <c r="AG20" s="100">
        <f t="shared" si="19"/>
        <v>46132.697916666664</v>
      </c>
      <c r="AH20" s="100">
        <f>L24</f>
        <v>46132.805555555555</v>
      </c>
      <c r="AI20" s="37" t="str">
        <f>+M23</f>
        <v>SAFO</v>
      </c>
      <c r="AJ20" s="37"/>
      <c r="AK20" s="37"/>
      <c r="AL20" s="37" t="str">
        <f>+P23</f>
        <v>Giáp Văn Định</v>
      </c>
      <c r="AM20" s="50">
        <f>+Q23</f>
        <v>359298</v>
      </c>
      <c r="AN20" s="50">
        <f>+R23</f>
        <v>359354</v>
      </c>
      <c r="AO20" s="6"/>
      <c r="AP20" s="6"/>
      <c r="AQ20" s="6"/>
      <c r="AR20" s="6"/>
    </row>
    <row r="21" spans="3:44" ht="35.1" customHeight="1" x14ac:dyDescent="0.25">
      <c r="C21" s="39" t="s">
        <v>801</v>
      </c>
      <c r="D21" s="39" t="s">
        <v>812</v>
      </c>
      <c r="E21" s="36">
        <v>46118</v>
      </c>
      <c r="F21" s="1" t="s">
        <v>17</v>
      </c>
      <c r="G21" s="3" t="s">
        <v>27</v>
      </c>
      <c r="H21" s="3" t="s">
        <v>31</v>
      </c>
      <c r="I21" s="100">
        <v>46132.5625</v>
      </c>
      <c r="J21" s="100">
        <v>46132.5625</v>
      </c>
      <c r="K21" s="100">
        <v>46132.663194444445</v>
      </c>
      <c r="L21" s="100">
        <v>46132.711805555555</v>
      </c>
      <c r="M21" s="33" t="s">
        <v>25</v>
      </c>
      <c r="N21" s="6"/>
      <c r="O21" s="6"/>
      <c r="P21" s="11" t="s">
        <v>58</v>
      </c>
      <c r="Q21" s="1">
        <v>359298</v>
      </c>
      <c r="R21" s="1">
        <v>359354</v>
      </c>
      <c r="S21" s="6"/>
      <c r="T21" s="6"/>
      <c r="U21" s="6">
        <v>3</v>
      </c>
      <c r="V21" s="6">
        <v>5</v>
      </c>
      <c r="W21" s="6"/>
      <c r="Y21" s="120"/>
    </row>
    <row r="22" spans="3:44" ht="35.1" customHeight="1" x14ac:dyDescent="0.25">
      <c r="C22" s="39" t="s">
        <v>801</v>
      </c>
      <c r="D22" s="39" t="s">
        <v>812</v>
      </c>
      <c r="E22" s="36">
        <v>46118</v>
      </c>
      <c r="F22" s="1"/>
      <c r="G22" s="3"/>
      <c r="H22" s="3" t="s">
        <v>34</v>
      </c>
      <c r="I22" s="100">
        <v>46132.770833333336</v>
      </c>
      <c r="J22" s="100">
        <v>46132.770833333336</v>
      </c>
      <c r="K22" s="100">
        <v>46132.770833333336</v>
      </c>
      <c r="L22" s="100">
        <v>46132.78125</v>
      </c>
      <c r="M22" s="33" t="s">
        <v>25</v>
      </c>
      <c r="N22" s="6"/>
      <c r="O22" s="6"/>
      <c r="P22" s="11" t="s">
        <v>58</v>
      </c>
      <c r="Q22" s="6">
        <v>359354</v>
      </c>
      <c r="R22" s="6">
        <v>359357</v>
      </c>
      <c r="S22" s="6"/>
      <c r="T22" s="6"/>
      <c r="U22" s="6">
        <v>3</v>
      </c>
      <c r="V22" s="6">
        <v>5</v>
      </c>
      <c r="W22" s="6"/>
      <c r="Y22" s="120"/>
    </row>
    <row r="23" spans="3:44" ht="35.1" customHeight="1" x14ac:dyDescent="0.25">
      <c r="C23" s="39" t="s">
        <v>801</v>
      </c>
      <c r="D23" s="39" t="s">
        <v>813</v>
      </c>
      <c r="E23" s="36">
        <v>46118</v>
      </c>
      <c r="F23" s="1" t="s">
        <v>29</v>
      </c>
      <c r="G23" s="3" t="s">
        <v>30</v>
      </c>
      <c r="H23" s="3" t="s">
        <v>33</v>
      </c>
      <c r="I23" s="100">
        <v>46132.583333333336</v>
      </c>
      <c r="J23" s="100">
        <v>46132.583333333336</v>
      </c>
      <c r="K23" s="100">
        <v>46132.697916666664</v>
      </c>
      <c r="L23" s="100">
        <v>46132.743055555555</v>
      </c>
      <c r="M23" s="33" t="s">
        <v>25</v>
      </c>
      <c r="N23" s="6"/>
      <c r="O23" s="6"/>
      <c r="P23" s="49" t="s">
        <v>76</v>
      </c>
      <c r="Q23" s="1">
        <v>359298</v>
      </c>
      <c r="R23" s="1">
        <v>359354</v>
      </c>
      <c r="S23" s="6"/>
      <c r="T23" s="6"/>
      <c r="U23" s="6">
        <v>5</v>
      </c>
      <c r="V23" s="6">
        <v>8</v>
      </c>
      <c r="W23" s="6"/>
      <c r="Y23" s="120"/>
    </row>
    <row r="24" spans="3:44" ht="35.1" customHeight="1" x14ac:dyDescent="0.25">
      <c r="C24" s="39" t="s">
        <v>801</v>
      </c>
      <c r="D24" s="39" t="s">
        <v>813</v>
      </c>
      <c r="E24" s="36">
        <v>46118</v>
      </c>
      <c r="F24" s="1"/>
      <c r="G24" s="3"/>
      <c r="H24" s="3" t="s">
        <v>35</v>
      </c>
      <c r="I24" s="100">
        <v>46132.763888888891</v>
      </c>
      <c r="J24" s="100">
        <v>46132.763888888891</v>
      </c>
      <c r="K24" s="100">
        <v>46132.763888888891</v>
      </c>
      <c r="L24" s="100">
        <v>46132.805555555555</v>
      </c>
      <c r="M24" s="33" t="s">
        <v>25</v>
      </c>
      <c r="N24" s="6"/>
      <c r="O24" s="6"/>
      <c r="P24" s="49" t="s">
        <v>76</v>
      </c>
      <c r="Q24" s="1">
        <v>359354</v>
      </c>
      <c r="R24" s="6">
        <v>359399</v>
      </c>
      <c r="S24" s="6"/>
      <c r="T24" s="6"/>
      <c r="U24" s="6">
        <v>5</v>
      </c>
      <c r="V24" s="6">
        <v>8</v>
      </c>
      <c r="W24" s="6"/>
      <c r="Y24" s="120"/>
    </row>
  </sheetData>
  <mergeCells count="10">
    <mergeCell ref="Z3:AR3"/>
    <mergeCell ref="C1:W2"/>
    <mergeCell ref="Z1:AR2"/>
    <mergeCell ref="C3:W3"/>
    <mergeCell ref="C12:W12"/>
    <mergeCell ref="Y13:Y14"/>
    <mergeCell ref="Y5:Y9"/>
    <mergeCell ref="Y18:Y24"/>
    <mergeCell ref="C16:W16"/>
    <mergeCell ref="C17:W17"/>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S14"/>
  <sheetViews>
    <sheetView zoomScale="90" zoomScaleNormal="90" workbookViewId="0">
      <selection activeCell="J4" sqref="J4"/>
    </sheetView>
  </sheetViews>
  <sheetFormatPr defaultColWidth="9.140625" defaultRowHeight="15" x14ac:dyDescent="0.25"/>
  <cols>
    <col min="1" max="1" width="9.140625" style="14"/>
    <col min="2" max="2" width="9.85546875" style="14" customWidth="1"/>
    <col min="3" max="3" width="11.85546875" style="14" customWidth="1"/>
    <col min="4" max="4" width="30.85546875" style="14" customWidth="1"/>
    <col min="5" max="5" width="28.140625" style="14" customWidth="1"/>
    <col min="6" max="7" width="12.85546875" style="14" customWidth="1"/>
    <col min="8" max="8" width="8" style="14" customWidth="1"/>
    <col min="9" max="12" width="10.42578125" style="14" customWidth="1"/>
    <col min="13" max="16" width="9.140625" style="14"/>
    <col min="17" max="17" width="16" style="14" customWidth="1"/>
    <col min="18" max="19" width="12.42578125" style="14" customWidth="1"/>
    <col min="20" max="16384" width="9.140625" style="14"/>
  </cols>
  <sheetData>
    <row r="1" spans="2:19" ht="39.75" customHeight="1" x14ac:dyDescent="0.25">
      <c r="B1" s="126" t="s">
        <v>36</v>
      </c>
      <c r="C1" s="127"/>
      <c r="D1" s="127"/>
      <c r="E1" s="127"/>
      <c r="F1" s="127"/>
      <c r="G1" s="127"/>
      <c r="H1" s="127"/>
      <c r="I1" s="127"/>
      <c r="J1" s="127"/>
      <c r="K1" s="127"/>
      <c r="L1" s="127"/>
      <c r="M1" s="127"/>
      <c r="N1" s="127"/>
      <c r="O1" s="127"/>
      <c r="P1" s="127"/>
      <c r="Q1" s="127"/>
      <c r="R1" s="127"/>
      <c r="S1" s="127"/>
    </row>
    <row r="2" spans="2:19" s="15" customFormat="1" ht="44.25" customHeight="1" x14ac:dyDescent="0.25">
      <c r="B2" s="20" t="s">
        <v>15</v>
      </c>
      <c r="C2" s="20" t="s">
        <v>7</v>
      </c>
      <c r="D2" s="20" t="s">
        <v>9</v>
      </c>
      <c r="E2" s="20" t="s">
        <v>10</v>
      </c>
      <c r="F2" s="20" t="s">
        <v>16</v>
      </c>
      <c r="G2" s="20" t="s">
        <v>827</v>
      </c>
      <c r="H2" s="20" t="s">
        <v>8</v>
      </c>
      <c r="I2" s="20" t="s">
        <v>23</v>
      </c>
      <c r="J2" s="20" t="s">
        <v>1</v>
      </c>
      <c r="K2" s="20" t="s">
        <v>11</v>
      </c>
      <c r="L2" s="20" t="s">
        <v>24</v>
      </c>
      <c r="M2" s="20" t="s">
        <v>12</v>
      </c>
      <c r="N2" s="20" t="s">
        <v>13</v>
      </c>
      <c r="O2" s="20" t="s">
        <v>0</v>
      </c>
      <c r="P2" s="20" t="s">
        <v>14</v>
      </c>
      <c r="Q2" s="20" t="s">
        <v>3</v>
      </c>
      <c r="R2" s="20" t="s">
        <v>822</v>
      </c>
      <c r="S2" s="20" t="s">
        <v>823</v>
      </c>
    </row>
    <row r="3" spans="2:19" ht="60" x14ac:dyDescent="0.25">
      <c r="B3" s="7">
        <v>46112</v>
      </c>
      <c r="C3" s="8" t="s">
        <v>17</v>
      </c>
      <c r="D3" s="9" t="s">
        <v>18</v>
      </c>
      <c r="E3" s="9" t="s">
        <v>19</v>
      </c>
      <c r="F3" s="8" t="s">
        <v>828</v>
      </c>
      <c r="G3" s="8" t="s">
        <v>829</v>
      </c>
      <c r="H3" s="8">
        <v>10</v>
      </c>
      <c r="I3" s="10">
        <v>0.625</v>
      </c>
      <c r="J3" s="10">
        <v>0.65277777777777779</v>
      </c>
      <c r="K3" s="10">
        <v>0.69097222222222221</v>
      </c>
      <c r="L3" s="10">
        <v>0.72222222222222221</v>
      </c>
      <c r="M3" s="10">
        <v>0.79166666666666663</v>
      </c>
      <c r="N3" s="8" t="s">
        <v>25</v>
      </c>
      <c r="O3" s="11"/>
      <c r="P3" s="11"/>
      <c r="Q3" s="46" t="s">
        <v>75</v>
      </c>
      <c r="R3" s="46">
        <v>359298</v>
      </c>
      <c r="S3" s="46">
        <v>359354</v>
      </c>
    </row>
    <row r="4" spans="2:19" ht="60" x14ac:dyDescent="0.25">
      <c r="B4" s="7">
        <v>46112</v>
      </c>
      <c r="C4" s="8" t="s">
        <v>21</v>
      </c>
      <c r="D4" s="9" t="s">
        <v>18</v>
      </c>
      <c r="E4" s="9" t="s">
        <v>19</v>
      </c>
      <c r="F4" s="8" t="s">
        <v>824</v>
      </c>
      <c r="G4" s="8" t="s">
        <v>830</v>
      </c>
      <c r="H4" s="8">
        <v>5</v>
      </c>
      <c r="I4" s="10">
        <v>0.625</v>
      </c>
      <c r="J4" s="10">
        <v>0.625</v>
      </c>
      <c r="K4" s="10">
        <v>0.70138888888888884</v>
      </c>
      <c r="L4" s="10">
        <v>0.72222222222222221</v>
      </c>
      <c r="M4" s="10">
        <v>0.75</v>
      </c>
      <c r="N4" s="8" t="s">
        <v>25</v>
      </c>
      <c r="O4" s="11"/>
      <c r="P4" s="11"/>
      <c r="Q4" s="47" t="s">
        <v>76</v>
      </c>
      <c r="R4" s="48">
        <v>133180</v>
      </c>
      <c r="S4" s="48">
        <v>133237</v>
      </c>
    </row>
    <row r="6" spans="2:19" ht="26.25" customHeight="1" x14ac:dyDescent="0.25">
      <c r="B6" s="126" t="s">
        <v>37</v>
      </c>
      <c r="C6" s="127"/>
      <c r="D6" s="127"/>
      <c r="E6" s="127"/>
      <c r="F6" s="127"/>
      <c r="G6" s="127"/>
      <c r="H6" s="127"/>
      <c r="I6" s="127"/>
      <c r="J6" s="127"/>
      <c r="K6" s="127"/>
      <c r="L6" s="127"/>
      <c r="M6" s="127"/>
      <c r="N6" s="127"/>
      <c r="O6" s="127"/>
      <c r="P6" s="127"/>
      <c r="Q6" s="127"/>
      <c r="R6" s="127"/>
      <c r="S6" s="127"/>
    </row>
    <row r="7" spans="2:19" ht="57" x14ac:dyDescent="0.25">
      <c r="B7" s="20" t="s">
        <v>15</v>
      </c>
      <c r="C7" s="20" t="s">
        <v>7</v>
      </c>
      <c r="D7" s="20" t="s">
        <v>9</v>
      </c>
      <c r="E7" s="20" t="s">
        <v>10</v>
      </c>
      <c r="F7" s="20" t="s">
        <v>16</v>
      </c>
      <c r="G7" s="20" t="s">
        <v>827</v>
      </c>
      <c r="H7" s="20" t="s">
        <v>8</v>
      </c>
      <c r="I7" s="20" t="s">
        <v>23</v>
      </c>
      <c r="J7" s="20" t="s">
        <v>1</v>
      </c>
      <c r="K7" s="20" t="s">
        <v>11</v>
      </c>
      <c r="L7" s="20" t="s">
        <v>24</v>
      </c>
      <c r="M7" s="20" t="s">
        <v>12</v>
      </c>
      <c r="N7" s="20" t="s">
        <v>13</v>
      </c>
      <c r="O7" s="20" t="s">
        <v>0</v>
      </c>
      <c r="P7" s="20" t="s">
        <v>14</v>
      </c>
      <c r="Q7" s="20" t="s">
        <v>3</v>
      </c>
      <c r="R7" s="20" t="s">
        <v>822</v>
      </c>
      <c r="S7" s="20" t="s">
        <v>823</v>
      </c>
    </row>
    <row r="8" spans="2:19" x14ac:dyDescent="0.25">
      <c r="B8" s="7">
        <v>46116</v>
      </c>
      <c r="C8" s="12" t="s">
        <v>26</v>
      </c>
      <c r="D8" s="12" t="s">
        <v>27</v>
      </c>
      <c r="E8" s="12" t="s">
        <v>31</v>
      </c>
      <c r="F8" s="8" t="s">
        <v>825</v>
      </c>
      <c r="G8" s="8" t="s">
        <v>829</v>
      </c>
      <c r="H8" s="12">
        <v>8</v>
      </c>
      <c r="I8" s="13">
        <v>0.5625</v>
      </c>
      <c r="J8" s="13">
        <v>0.5625</v>
      </c>
      <c r="K8" s="13">
        <v>0.63194444444444442</v>
      </c>
      <c r="L8" s="13">
        <v>0.67361111111111116</v>
      </c>
      <c r="M8" s="13">
        <v>0.73611111111111116</v>
      </c>
      <c r="N8" s="8" t="s">
        <v>25</v>
      </c>
      <c r="O8" s="8"/>
      <c r="P8" s="11"/>
      <c r="Q8" s="31" t="s">
        <v>77</v>
      </c>
      <c r="R8" s="32">
        <v>432650</v>
      </c>
      <c r="S8" s="32">
        <v>432700</v>
      </c>
    </row>
    <row r="9" spans="2:19" x14ac:dyDescent="0.25">
      <c r="B9" s="7">
        <v>46116</v>
      </c>
      <c r="C9" s="12"/>
      <c r="D9" s="12"/>
      <c r="E9" s="5" t="s">
        <v>32</v>
      </c>
      <c r="F9" s="8" t="s">
        <v>826</v>
      </c>
      <c r="G9" s="8" t="s">
        <v>829</v>
      </c>
      <c r="H9" s="12">
        <v>8</v>
      </c>
      <c r="I9" s="13">
        <v>0.73611111111111116</v>
      </c>
      <c r="J9" s="13">
        <v>0.73611111111111116</v>
      </c>
      <c r="K9" s="13">
        <v>0.73611111111111116</v>
      </c>
      <c r="L9" s="13">
        <v>0.74305555555555547</v>
      </c>
      <c r="M9" s="13">
        <v>0.86111111111111116</v>
      </c>
      <c r="N9" s="8" t="s">
        <v>25</v>
      </c>
      <c r="O9" s="8"/>
      <c r="P9" s="11"/>
      <c r="Q9" s="31" t="s">
        <v>77</v>
      </c>
      <c r="R9" s="32">
        <v>432700</v>
      </c>
      <c r="S9" s="32">
        <v>432705</v>
      </c>
    </row>
    <row r="10" spans="2:19" x14ac:dyDescent="0.25">
      <c r="B10" s="7">
        <v>46116</v>
      </c>
      <c r="C10" s="12"/>
      <c r="D10" s="12"/>
      <c r="E10" s="5" t="s">
        <v>33</v>
      </c>
      <c r="F10" s="8">
        <v>8</v>
      </c>
      <c r="G10" s="8" t="s">
        <v>829</v>
      </c>
      <c r="H10" s="12">
        <v>8</v>
      </c>
      <c r="I10" s="13">
        <v>0.86111111111111116</v>
      </c>
      <c r="J10" s="13">
        <v>0.86111111111111116</v>
      </c>
      <c r="K10" s="13">
        <v>0.86111111111111116</v>
      </c>
      <c r="L10" s="13">
        <v>0.90972222222222221</v>
      </c>
      <c r="M10" s="13">
        <v>0.95486111111111116</v>
      </c>
      <c r="N10" s="8" t="s">
        <v>25</v>
      </c>
      <c r="O10" s="8"/>
      <c r="P10" s="11"/>
      <c r="Q10" s="31" t="s">
        <v>77</v>
      </c>
      <c r="R10" s="32">
        <v>432705</v>
      </c>
      <c r="S10" s="32">
        <v>432760</v>
      </c>
    </row>
    <row r="11" spans="2:19" x14ac:dyDescent="0.25">
      <c r="B11" s="7">
        <v>46118</v>
      </c>
      <c r="C11" s="12" t="s">
        <v>17</v>
      </c>
      <c r="D11" s="12" t="s">
        <v>27</v>
      </c>
      <c r="E11" s="12" t="s">
        <v>31</v>
      </c>
      <c r="F11" s="8">
        <v>15</v>
      </c>
      <c r="G11" s="8" t="s">
        <v>829</v>
      </c>
      <c r="H11" s="12">
        <v>8</v>
      </c>
      <c r="I11" s="13">
        <v>0.5625</v>
      </c>
      <c r="J11" s="13">
        <v>0.5625</v>
      </c>
      <c r="K11" s="13">
        <v>0.66319444444444442</v>
      </c>
      <c r="L11" s="13">
        <v>0.71180555555555558</v>
      </c>
      <c r="M11" s="13">
        <v>0.77083333333333337</v>
      </c>
      <c r="N11" s="8" t="s">
        <v>25</v>
      </c>
      <c r="O11" s="8"/>
      <c r="P11" s="11"/>
      <c r="Q11" s="31" t="s">
        <v>76</v>
      </c>
      <c r="R11" s="32">
        <v>133180</v>
      </c>
      <c r="S11" s="32">
        <v>133235</v>
      </c>
    </row>
    <row r="12" spans="2:19" x14ac:dyDescent="0.25">
      <c r="B12" s="7">
        <v>46118</v>
      </c>
      <c r="C12" s="12"/>
      <c r="D12" s="12"/>
      <c r="E12" s="5" t="s">
        <v>34</v>
      </c>
      <c r="F12" s="8">
        <v>2</v>
      </c>
      <c r="G12" s="8" t="s">
        <v>829</v>
      </c>
      <c r="H12" s="12">
        <v>8</v>
      </c>
      <c r="I12" s="13">
        <v>0.77083333333333337</v>
      </c>
      <c r="J12" s="13">
        <v>0.77083333333333337</v>
      </c>
      <c r="K12" s="13">
        <v>0.77083333333333337</v>
      </c>
      <c r="L12" s="13">
        <v>0.78125</v>
      </c>
      <c r="M12" s="13">
        <v>0.85416666666666663</v>
      </c>
      <c r="N12" s="8" t="s">
        <v>25</v>
      </c>
      <c r="O12" s="8"/>
      <c r="P12" s="11"/>
      <c r="Q12" s="31" t="s">
        <v>76</v>
      </c>
      <c r="R12" s="32">
        <v>133235</v>
      </c>
      <c r="S12" s="32">
        <v>133237</v>
      </c>
    </row>
    <row r="13" spans="2:19" x14ac:dyDescent="0.25">
      <c r="B13" s="7">
        <v>46118</v>
      </c>
      <c r="C13" s="12" t="s">
        <v>29</v>
      </c>
      <c r="D13" s="12" t="s">
        <v>30</v>
      </c>
      <c r="E13" s="5" t="s">
        <v>35</v>
      </c>
      <c r="F13" s="8">
        <v>3</v>
      </c>
      <c r="G13" s="8" t="s">
        <v>829</v>
      </c>
      <c r="H13" s="12">
        <v>5</v>
      </c>
      <c r="I13" s="13">
        <v>0.76388888888888884</v>
      </c>
      <c r="J13" s="13">
        <v>0.76388888888888884</v>
      </c>
      <c r="K13" s="13">
        <v>0.76388888888888884</v>
      </c>
      <c r="L13" s="13">
        <v>0.80555555555555547</v>
      </c>
      <c r="M13" s="13">
        <v>0.83680555555555547</v>
      </c>
      <c r="N13" s="8" t="s">
        <v>25</v>
      </c>
      <c r="O13" s="8"/>
      <c r="P13" s="11"/>
      <c r="Q13" s="11" t="s">
        <v>78</v>
      </c>
      <c r="R13" s="11">
        <v>428092</v>
      </c>
      <c r="S13" s="11">
        <v>428133</v>
      </c>
    </row>
    <row r="14" spans="2:19" x14ac:dyDescent="0.25">
      <c r="B14" s="7">
        <v>46118</v>
      </c>
      <c r="C14" s="12"/>
      <c r="D14" s="12"/>
      <c r="E14" s="5" t="s">
        <v>33</v>
      </c>
      <c r="F14" s="8">
        <v>5</v>
      </c>
      <c r="G14" s="8" t="s">
        <v>830</v>
      </c>
      <c r="H14" s="12">
        <v>5</v>
      </c>
      <c r="I14" s="13">
        <v>0.58333333333333337</v>
      </c>
      <c r="J14" s="13">
        <v>0.58333333333333337</v>
      </c>
      <c r="K14" s="13">
        <v>0.69791666666666663</v>
      </c>
      <c r="L14" s="13">
        <v>0.74305555555555558</v>
      </c>
      <c r="M14" s="13">
        <v>0.76388888888888884</v>
      </c>
      <c r="N14" s="8" t="s">
        <v>25</v>
      </c>
      <c r="O14" s="8"/>
      <c r="P14" s="11"/>
      <c r="Q14" s="11" t="s">
        <v>78</v>
      </c>
      <c r="R14" s="11">
        <v>428062</v>
      </c>
      <c r="S14" s="11">
        <v>428092</v>
      </c>
    </row>
  </sheetData>
  <mergeCells count="2">
    <mergeCell ref="B1:S1"/>
    <mergeCell ref="B6:S6"/>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
  <sheetViews>
    <sheetView zoomScale="115" zoomScaleNormal="115" workbookViewId="0">
      <selection activeCell="D32" sqref="D32"/>
    </sheetView>
  </sheetViews>
  <sheetFormatPr defaultColWidth="9.140625" defaultRowHeight="15" x14ac:dyDescent="0.25"/>
  <cols>
    <col min="1" max="1" width="7.140625" style="14" customWidth="1"/>
    <col min="2" max="2" width="12.7109375" style="80" customWidth="1"/>
    <col min="3" max="3" width="16.28515625" style="14" customWidth="1"/>
    <col min="4" max="4" width="73.42578125" style="14" customWidth="1"/>
    <col min="5" max="5" width="65.5703125" style="14" customWidth="1"/>
    <col min="6" max="16384" width="9.140625" style="14"/>
  </cols>
  <sheetData>
    <row r="1" spans="1:6" s="56" customFormat="1" ht="32.450000000000003" customHeight="1" x14ac:dyDescent="0.25">
      <c r="A1" s="60" t="s">
        <v>84</v>
      </c>
      <c r="B1" s="60" t="s">
        <v>85</v>
      </c>
      <c r="C1" s="78" t="s">
        <v>818</v>
      </c>
      <c r="D1" s="60" t="s">
        <v>83</v>
      </c>
      <c r="E1" s="60" t="s">
        <v>118</v>
      </c>
    </row>
    <row r="2" spans="1:6" x14ac:dyDescent="0.25">
      <c r="A2" s="11">
        <v>1</v>
      </c>
      <c r="B2" s="79" t="s">
        <v>70</v>
      </c>
      <c r="C2" s="11" t="s">
        <v>54</v>
      </c>
      <c r="D2" s="53" t="s">
        <v>114</v>
      </c>
      <c r="E2" s="54" t="s">
        <v>113</v>
      </c>
      <c r="F2" s="14" t="str">
        <f>+VLOOKUP(C2,'Data locationHàng ngoài'!C:C,1,0)</f>
        <v>ACSV</v>
      </c>
    </row>
    <row r="3" spans="1:6" x14ac:dyDescent="0.25">
      <c r="A3" s="11">
        <v>2</v>
      </c>
      <c r="B3" s="79" t="s">
        <v>70</v>
      </c>
      <c r="C3" s="11" t="s">
        <v>86</v>
      </c>
      <c r="D3" s="11" t="s">
        <v>765</v>
      </c>
      <c r="E3" s="54" t="s">
        <v>113</v>
      </c>
      <c r="F3" s="14" t="str">
        <f>+VLOOKUP(C3,'Data locationHàng ngoài'!C:C,1,0)</f>
        <v>NCTS</v>
      </c>
    </row>
    <row r="4" spans="1:6" x14ac:dyDescent="0.25">
      <c r="A4" s="11">
        <v>3</v>
      </c>
      <c r="B4" s="79" t="s">
        <v>70</v>
      </c>
      <c r="C4" s="11" t="s">
        <v>28</v>
      </c>
      <c r="D4" s="11" t="s">
        <v>115</v>
      </c>
      <c r="E4" s="54" t="s">
        <v>113</v>
      </c>
      <c r="F4" s="14" t="str">
        <f>+VLOOKUP(C4,'Data locationHàng ngoài'!C:C,1,0)</f>
        <v>ALSC</v>
      </c>
    </row>
    <row r="5" spans="1:6" x14ac:dyDescent="0.25">
      <c r="A5" s="11">
        <v>5</v>
      </c>
      <c r="B5" s="79" t="s">
        <v>70</v>
      </c>
      <c r="C5" s="11" t="s">
        <v>87</v>
      </c>
      <c r="D5" s="11" t="s">
        <v>116</v>
      </c>
      <c r="E5" s="54" t="s">
        <v>113</v>
      </c>
      <c r="F5" s="14" t="str">
        <f>+VLOOKUP(C5,'Data locationHàng ngoài'!C:C,1,0)</f>
        <v>DHL</v>
      </c>
    </row>
    <row r="6" spans="1:6" x14ac:dyDescent="0.25">
      <c r="A6" s="11">
        <v>6</v>
      </c>
      <c r="B6" s="79" t="s">
        <v>70</v>
      </c>
      <c r="C6" s="11" t="s">
        <v>94</v>
      </c>
      <c r="D6" s="11" t="s">
        <v>766</v>
      </c>
      <c r="E6" s="54" t="s">
        <v>113</v>
      </c>
      <c r="F6" s="14" t="str">
        <f>+VLOOKUP(C6,'Data locationHàng ngoài'!C:C,1,0)</f>
        <v>ALSW</v>
      </c>
    </row>
    <row r="7" spans="1:6" x14ac:dyDescent="0.25">
      <c r="A7" s="11">
        <v>7</v>
      </c>
      <c r="B7" s="79" t="s">
        <v>70</v>
      </c>
      <c r="C7" s="11" t="s">
        <v>93</v>
      </c>
      <c r="D7" s="11" t="s">
        <v>117</v>
      </c>
      <c r="E7" s="54" t="s">
        <v>113</v>
      </c>
      <c r="F7" s="14" t="str">
        <f>+VLOOKUP(C7,'Data locationHàng ngoài'!C:C,1,0)</f>
        <v>ASG</v>
      </c>
    </row>
    <row r="8" spans="1:6" x14ac:dyDescent="0.25">
      <c r="A8" s="11">
        <v>9</v>
      </c>
      <c r="B8" s="79" t="s">
        <v>89</v>
      </c>
      <c r="C8" s="11" t="s">
        <v>95</v>
      </c>
      <c r="D8" s="11" t="s">
        <v>735</v>
      </c>
      <c r="E8" s="54" t="s">
        <v>685</v>
      </c>
      <c r="F8" s="14" t="str">
        <f>+VLOOKUP(C8,'Data locationHàng ngoài'!C:C,1,0)</f>
        <v>SEV</v>
      </c>
    </row>
    <row r="9" spans="1:6" x14ac:dyDescent="0.25">
      <c r="A9" s="11">
        <v>9</v>
      </c>
      <c r="B9" s="79" t="s">
        <v>89</v>
      </c>
      <c r="C9" s="11" t="s">
        <v>6</v>
      </c>
      <c r="D9" s="11" t="s">
        <v>204</v>
      </c>
      <c r="E9" s="54" t="s">
        <v>685</v>
      </c>
      <c r="F9" s="14" t="str">
        <f>+VLOOKUP(C9,'Data locationHàng ngoài'!C:C,1,0)</f>
        <v>ALSB</v>
      </c>
    </row>
    <row r="10" spans="1:6" x14ac:dyDescent="0.25">
      <c r="A10" s="11">
        <v>10</v>
      </c>
      <c r="B10" s="79" t="s">
        <v>89</v>
      </c>
      <c r="C10" s="11" t="s">
        <v>96</v>
      </c>
      <c r="D10" s="11" t="s">
        <v>736</v>
      </c>
      <c r="E10" s="54" t="s">
        <v>685</v>
      </c>
      <c r="F10" s="14" t="str">
        <f>+VLOOKUP(C10,'Data locationHàng ngoài'!C:C,1,0)</f>
        <v>SDV</v>
      </c>
    </row>
    <row r="11" spans="1:6" x14ac:dyDescent="0.25">
      <c r="A11" s="11">
        <v>11</v>
      </c>
      <c r="B11" s="79" t="s">
        <v>89</v>
      </c>
      <c r="C11" s="11" t="s">
        <v>98</v>
      </c>
      <c r="D11" s="11" t="s">
        <v>737</v>
      </c>
      <c r="E11" s="54" t="s">
        <v>685</v>
      </c>
      <c r="F11" s="14" t="str">
        <f>+VLOOKUP(C11,'Data locationHàng ngoài'!C:C,1,0)</f>
        <v>ASGS</v>
      </c>
    </row>
    <row r="12" spans="1:6" x14ac:dyDescent="0.25">
      <c r="A12" s="11">
        <v>12</v>
      </c>
      <c r="B12" s="79" t="s">
        <v>89</v>
      </c>
      <c r="C12" s="11" t="s">
        <v>99</v>
      </c>
      <c r="D12" s="11" t="s">
        <v>738</v>
      </c>
      <c r="E12" s="54" t="s">
        <v>685</v>
      </c>
      <c r="F12" s="14" t="str">
        <f>+VLOOKUP(C12,'Data locationHàng ngoài'!C:C,1,0)</f>
        <v>CLC</v>
      </c>
    </row>
    <row r="13" spans="1:6" x14ac:dyDescent="0.25">
      <c r="A13" s="11">
        <v>14</v>
      </c>
      <c r="B13" s="79" t="s">
        <v>89</v>
      </c>
      <c r="C13" s="11" t="s">
        <v>97</v>
      </c>
      <c r="D13" s="11" t="s">
        <v>739</v>
      </c>
      <c r="E13" s="54" t="s">
        <v>120</v>
      </c>
      <c r="F13" s="14" t="str">
        <f>+VLOOKUP(C13,'Data locationHàng ngoài'!C:C,1,0)</f>
        <v>ALSE</v>
      </c>
    </row>
    <row r="14" spans="1:6" s="112" customFormat="1" x14ac:dyDescent="0.25">
      <c r="A14" s="109">
        <v>14</v>
      </c>
      <c r="B14" s="110" t="s">
        <v>89</v>
      </c>
      <c r="C14" s="109" t="s">
        <v>107</v>
      </c>
      <c r="D14" s="109" t="s">
        <v>740</v>
      </c>
      <c r="E14" s="111" t="s">
        <v>119</v>
      </c>
      <c r="F14" s="112" t="e">
        <f>+VLOOKUP(C14,'Data locationHàng ngoài'!C:C,1,0)</f>
        <v>#N/A</v>
      </c>
    </row>
    <row r="15" spans="1:6" x14ac:dyDescent="0.25">
      <c r="A15" s="11">
        <v>17</v>
      </c>
      <c r="B15" s="79" t="s">
        <v>90</v>
      </c>
      <c r="C15" s="11" t="s">
        <v>4</v>
      </c>
      <c r="D15" s="11" t="s">
        <v>789</v>
      </c>
      <c r="E15" s="54" t="s">
        <v>110</v>
      </c>
      <c r="F15" s="14" t="str">
        <f>+VLOOKUP(C15,'Data locationHàng ngoài'!C:C,1,0)</f>
        <v>ASGL</v>
      </c>
    </row>
    <row r="16" spans="1:6" x14ac:dyDescent="0.25">
      <c r="A16" s="11">
        <v>18</v>
      </c>
      <c r="B16" s="79" t="s">
        <v>90</v>
      </c>
      <c r="C16" s="11" t="s">
        <v>100</v>
      </c>
      <c r="D16" s="11" t="s">
        <v>790</v>
      </c>
      <c r="E16" s="54" t="s">
        <v>110</v>
      </c>
      <c r="F16" s="14" t="str">
        <f>+VLOOKUP(C16,'Data locationHàng ngoài'!C:C,1,0)</f>
        <v>SEMV</v>
      </c>
    </row>
    <row r="17" spans="1:6" x14ac:dyDescent="0.25">
      <c r="A17" s="11">
        <v>19</v>
      </c>
      <c r="B17" s="79" t="s">
        <v>90</v>
      </c>
      <c r="C17" s="11" t="s">
        <v>101</v>
      </c>
      <c r="D17" s="11" t="s">
        <v>791</v>
      </c>
      <c r="E17" s="54" t="s">
        <v>110</v>
      </c>
      <c r="F17" s="14" t="str">
        <f>+VLOOKUP(C17,'Data locationHàng ngoài'!C:C,1,0)</f>
        <v>SEVT</v>
      </c>
    </row>
    <row r="18" spans="1:6" x14ac:dyDescent="0.25">
      <c r="A18" s="11">
        <v>19</v>
      </c>
      <c r="B18" s="79" t="s">
        <v>90</v>
      </c>
      <c r="C18" s="11" t="s">
        <v>310</v>
      </c>
      <c r="D18" s="11" t="s">
        <v>311</v>
      </c>
      <c r="E18" s="54" t="s">
        <v>110</v>
      </c>
      <c r="F18" s="14" t="str">
        <f>+VLOOKUP(C18,'Data locationHàng ngoài'!C:C,1,0)</f>
        <v>HEV</v>
      </c>
    </row>
    <row r="19" spans="1:6" x14ac:dyDescent="0.25">
      <c r="A19" s="11">
        <v>20</v>
      </c>
      <c r="B19" s="79" t="s">
        <v>90</v>
      </c>
      <c r="C19" s="11" t="s">
        <v>102</v>
      </c>
      <c r="D19" s="11" t="s">
        <v>792</v>
      </c>
      <c r="E19" s="54" t="s">
        <v>108</v>
      </c>
      <c r="F19" s="14" t="str">
        <f>+VLOOKUP(C19,'Data locationHàng ngoài'!C:C,1,0)</f>
        <v>DAINESE</v>
      </c>
    </row>
    <row r="20" spans="1:6" s="112" customFormat="1" x14ac:dyDescent="0.25">
      <c r="A20" s="109">
        <v>21</v>
      </c>
      <c r="B20" s="110" t="s">
        <v>90</v>
      </c>
      <c r="C20" s="109" t="s">
        <v>103</v>
      </c>
      <c r="D20" s="109" t="s">
        <v>793</v>
      </c>
      <c r="E20" s="111" t="s">
        <v>111</v>
      </c>
      <c r="F20" s="112" t="e">
        <f>+VLOOKUP(C20,'Data locationHàng ngoài'!C:C,1,0)</f>
        <v>#N/A</v>
      </c>
    </row>
    <row r="21" spans="1:6" s="112" customFormat="1" x14ac:dyDescent="0.25">
      <c r="A21" s="109">
        <v>22</v>
      </c>
      <c r="B21" s="110" t="s">
        <v>90</v>
      </c>
      <c r="C21" s="109" t="s">
        <v>104</v>
      </c>
      <c r="D21" s="109" t="s">
        <v>794</v>
      </c>
      <c r="E21" s="111" t="s">
        <v>112</v>
      </c>
      <c r="F21" s="112" t="e">
        <f>+VLOOKUP(C21,'Data locationHàng ngoài'!C:C,1,0)</f>
        <v>#N/A</v>
      </c>
    </row>
    <row r="22" spans="1:6" x14ac:dyDescent="0.25">
      <c r="A22" s="11">
        <v>23</v>
      </c>
      <c r="B22" s="79" t="s">
        <v>90</v>
      </c>
      <c r="C22" s="11" t="s">
        <v>105</v>
      </c>
      <c r="D22" s="11" t="s">
        <v>795</v>
      </c>
      <c r="E22" s="54" t="s">
        <v>111</v>
      </c>
      <c r="F22" s="14" t="str">
        <f>+VLOOKUP(C22,'Data locationHàng ngoài'!C:C,1,0)</f>
        <v>SHINSUNG</v>
      </c>
    </row>
    <row r="23" spans="1:6" x14ac:dyDescent="0.25">
      <c r="A23" s="11">
        <v>23</v>
      </c>
      <c r="B23" s="79" t="s">
        <v>90</v>
      </c>
      <c r="C23" s="16" t="s">
        <v>315</v>
      </c>
      <c r="D23" s="14" t="s">
        <v>796</v>
      </c>
      <c r="E23" s="54" t="s">
        <v>141</v>
      </c>
      <c r="F23" s="14" t="str">
        <f>+VLOOKUP(C23,'Data locationHàng ngoài'!C:C,1,0)</f>
        <v>DONGSUNG</v>
      </c>
    </row>
    <row r="24" spans="1:6" x14ac:dyDescent="0.25">
      <c r="A24" s="11">
        <v>24</v>
      </c>
      <c r="B24" s="79" t="s">
        <v>90</v>
      </c>
      <c r="C24" s="11" t="s">
        <v>106</v>
      </c>
      <c r="D24" s="11" t="s">
        <v>109</v>
      </c>
      <c r="E24" s="54" t="s">
        <v>111</v>
      </c>
      <c r="F24" s="14" t="str">
        <f>+VLOOKUP(C24,'Data locationHàng ngoài'!C:C,1,0)</f>
        <v>JUWKANG</v>
      </c>
    </row>
    <row r="25" spans="1:6" x14ac:dyDescent="0.25">
      <c r="A25" s="11">
        <v>25</v>
      </c>
      <c r="B25" s="79" t="s">
        <v>842</v>
      </c>
      <c r="C25" s="11" t="s">
        <v>4</v>
      </c>
      <c r="D25" s="11" t="s">
        <v>789</v>
      </c>
      <c r="E25" s="54" t="s">
        <v>110</v>
      </c>
      <c r="F25" s="14" t="str">
        <f>+VLOOKUP(C25,'Data locationHàng ngoài'!C:C,1,0)</f>
        <v>ASGL</v>
      </c>
    </row>
    <row r="26" spans="1:6" x14ac:dyDescent="0.25">
      <c r="A26" s="11">
        <v>26</v>
      </c>
      <c r="B26" s="79" t="s">
        <v>842</v>
      </c>
      <c r="C26" s="11" t="s">
        <v>100</v>
      </c>
      <c r="D26" s="11" t="s">
        <v>790</v>
      </c>
      <c r="E26" s="54" t="s">
        <v>110</v>
      </c>
      <c r="F26" s="14" t="str">
        <f>+VLOOKUP(C26,'Data locationHàng ngoài'!C:C,1,0)</f>
        <v>SEMV</v>
      </c>
    </row>
    <row r="27" spans="1:6" x14ac:dyDescent="0.25">
      <c r="A27" s="11">
        <v>27</v>
      </c>
      <c r="B27" s="79" t="s">
        <v>842</v>
      </c>
      <c r="C27" s="11" t="s">
        <v>101</v>
      </c>
      <c r="D27" s="11" t="s">
        <v>791</v>
      </c>
      <c r="E27" s="54" t="s">
        <v>110</v>
      </c>
      <c r="F27" s="14" t="str">
        <f>+VLOOKUP(C27,'Data locationHàng ngoài'!C:C,1,0)</f>
        <v>SEVT</v>
      </c>
    </row>
    <row r="28" spans="1:6" x14ac:dyDescent="0.25">
      <c r="A28" s="11">
        <v>28</v>
      </c>
      <c r="B28" s="79" t="s">
        <v>842</v>
      </c>
      <c r="C28" s="11" t="s">
        <v>310</v>
      </c>
      <c r="D28" s="11" t="s">
        <v>311</v>
      </c>
      <c r="E28" s="54" t="s">
        <v>110</v>
      </c>
      <c r="F28" s="14" t="str">
        <f>+VLOOKUP(C28,'Data locationHàng ngoài'!C:C,1,0)</f>
        <v>HEV</v>
      </c>
    </row>
    <row r="29" spans="1:6" x14ac:dyDescent="0.25">
      <c r="A29" s="11">
        <v>32</v>
      </c>
      <c r="B29" s="79" t="s">
        <v>842</v>
      </c>
      <c r="C29" s="11" t="s">
        <v>105</v>
      </c>
      <c r="D29" s="11" t="s">
        <v>795</v>
      </c>
      <c r="E29" s="54" t="s">
        <v>111</v>
      </c>
      <c r="F29" s="14" t="str">
        <f>+VLOOKUP(C29,'Data locationHàng ngoài'!C:C,1,0)</f>
        <v>SHINSUNG</v>
      </c>
    </row>
    <row r="30" spans="1:6" x14ac:dyDescent="0.25">
      <c r="A30" s="11">
        <v>34</v>
      </c>
      <c r="B30" s="79" t="s">
        <v>842</v>
      </c>
      <c r="C30" s="11" t="s">
        <v>106</v>
      </c>
      <c r="D30" s="11" t="s">
        <v>109</v>
      </c>
      <c r="E30" s="54" t="s">
        <v>111</v>
      </c>
      <c r="F30" s="14" t="str">
        <f>+VLOOKUP(C30,'Data locationHàng ngoài'!C:C,1,0)</f>
        <v>JUWKANG</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7"/>
  <sheetViews>
    <sheetView tabSelected="1" topLeftCell="A179" zoomScale="81" zoomScaleNormal="81" workbookViewId="0">
      <selection activeCell="D217" sqref="D217"/>
    </sheetView>
  </sheetViews>
  <sheetFormatPr defaultColWidth="9.140625" defaultRowHeight="15" x14ac:dyDescent="0.25"/>
  <cols>
    <col min="1" max="1" width="7.140625" style="80" customWidth="1"/>
    <col min="2" max="2" width="13.7109375" style="80" customWidth="1"/>
    <col min="3" max="3" width="18.140625" style="14" customWidth="1"/>
    <col min="4" max="4" width="21" style="14" customWidth="1"/>
    <col min="5" max="5" width="59.140625" style="14" customWidth="1"/>
    <col min="6" max="6" width="71" style="14" customWidth="1"/>
    <col min="7" max="7" width="19.140625" style="57" customWidth="1"/>
    <col min="8" max="8" width="15.28515625" style="57" customWidth="1"/>
    <col min="9" max="16384" width="9.140625" style="14"/>
  </cols>
  <sheetData>
    <row r="1" spans="1:8" s="56" customFormat="1" ht="49.5" customHeight="1" x14ac:dyDescent="0.25">
      <c r="A1" s="60" t="s">
        <v>84</v>
      </c>
      <c r="B1" s="60" t="s">
        <v>85</v>
      </c>
      <c r="C1" s="108" t="s">
        <v>865</v>
      </c>
      <c r="D1" s="59" t="s">
        <v>818</v>
      </c>
      <c r="E1" s="60" t="s">
        <v>304</v>
      </c>
      <c r="F1" s="60" t="s">
        <v>118</v>
      </c>
      <c r="G1" s="60" t="s">
        <v>91</v>
      </c>
      <c r="H1" s="60" t="s">
        <v>92</v>
      </c>
    </row>
    <row r="2" spans="1:8" x14ac:dyDescent="0.25">
      <c r="A2" s="79">
        <v>1</v>
      </c>
      <c r="B2" s="79" t="s">
        <v>89</v>
      </c>
      <c r="C2" s="11" t="s">
        <v>95</v>
      </c>
      <c r="D2" s="11" t="s">
        <v>95</v>
      </c>
      <c r="E2" s="11" t="s">
        <v>735</v>
      </c>
      <c r="F2" s="54" t="s">
        <v>685</v>
      </c>
      <c r="G2" s="58" t="s">
        <v>466</v>
      </c>
      <c r="H2" s="55" t="s">
        <v>221</v>
      </c>
    </row>
    <row r="3" spans="1:8" x14ac:dyDescent="0.25">
      <c r="A3" s="79">
        <v>2</v>
      </c>
      <c r="B3" s="79" t="s">
        <v>89</v>
      </c>
      <c r="C3" s="11" t="s">
        <v>6</v>
      </c>
      <c r="D3" s="11" t="s">
        <v>6</v>
      </c>
      <c r="E3" s="11" t="s">
        <v>204</v>
      </c>
      <c r="F3" s="54" t="s">
        <v>685</v>
      </c>
      <c r="G3" s="58" t="s">
        <v>466</v>
      </c>
      <c r="H3" s="55" t="s">
        <v>221</v>
      </c>
    </row>
    <row r="4" spans="1:8" x14ac:dyDescent="0.25">
      <c r="A4" s="79">
        <v>3</v>
      </c>
      <c r="B4" s="79" t="s">
        <v>89</v>
      </c>
      <c r="C4" s="11" t="s">
        <v>96</v>
      </c>
      <c r="D4" s="11" t="s">
        <v>96</v>
      </c>
      <c r="E4" s="11" t="s">
        <v>736</v>
      </c>
      <c r="F4" s="54" t="s">
        <v>685</v>
      </c>
      <c r="G4" s="58" t="s">
        <v>466</v>
      </c>
      <c r="H4" s="55" t="s">
        <v>221</v>
      </c>
    </row>
    <row r="5" spans="1:8" x14ac:dyDescent="0.25">
      <c r="A5" s="79">
        <v>4</v>
      </c>
      <c r="B5" s="79" t="s">
        <v>89</v>
      </c>
      <c r="C5" s="11" t="s">
        <v>98</v>
      </c>
      <c r="D5" s="11" t="s">
        <v>98</v>
      </c>
      <c r="E5" s="11" t="s">
        <v>737</v>
      </c>
      <c r="F5" s="54" t="s">
        <v>685</v>
      </c>
      <c r="G5" s="58" t="s">
        <v>466</v>
      </c>
      <c r="H5" s="55" t="s">
        <v>221</v>
      </c>
    </row>
    <row r="6" spans="1:8" x14ac:dyDescent="0.25">
      <c r="A6" s="79">
        <v>5</v>
      </c>
      <c r="B6" s="79" t="s">
        <v>89</v>
      </c>
      <c r="C6" s="11" t="s">
        <v>99</v>
      </c>
      <c r="D6" s="11" t="s">
        <v>99</v>
      </c>
      <c r="E6" s="11" t="s">
        <v>738</v>
      </c>
      <c r="F6" s="54" t="s">
        <v>685</v>
      </c>
      <c r="G6" s="58" t="s">
        <v>466</v>
      </c>
      <c r="H6" s="55" t="s">
        <v>221</v>
      </c>
    </row>
    <row r="7" spans="1:8" x14ac:dyDescent="0.25">
      <c r="A7" s="79">
        <v>6</v>
      </c>
      <c r="B7" s="79" t="s">
        <v>89</v>
      </c>
      <c r="C7" s="11" t="s">
        <v>97</v>
      </c>
      <c r="D7" s="11" t="s">
        <v>97</v>
      </c>
      <c r="E7" s="11" t="s">
        <v>739</v>
      </c>
      <c r="F7" s="54" t="s">
        <v>120</v>
      </c>
      <c r="G7" s="58" t="s">
        <v>222</v>
      </c>
      <c r="H7" s="55" t="s">
        <v>221</v>
      </c>
    </row>
    <row r="8" spans="1:8" x14ac:dyDescent="0.25">
      <c r="A8" s="79">
        <v>7</v>
      </c>
      <c r="B8" s="79" t="s">
        <v>89</v>
      </c>
      <c r="C8" s="11" t="s">
        <v>819</v>
      </c>
      <c r="D8" s="11" t="s">
        <v>291</v>
      </c>
      <c r="E8" s="11" t="s">
        <v>740</v>
      </c>
      <c r="F8" s="54" t="s">
        <v>119</v>
      </c>
      <c r="G8" s="58" t="s">
        <v>688</v>
      </c>
      <c r="H8" s="55" t="s">
        <v>221</v>
      </c>
    </row>
    <row r="9" spans="1:8" x14ac:dyDescent="0.25">
      <c r="A9" s="79">
        <v>8</v>
      </c>
      <c r="B9" s="79" t="s">
        <v>89</v>
      </c>
      <c r="C9" s="11" t="s">
        <v>150</v>
      </c>
      <c r="D9" s="11" t="s">
        <v>210</v>
      </c>
      <c r="E9" s="11" t="s">
        <v>148</v>
      </c>
      <c r="F9" s="54" t="s">
        <v>149</v>
      </c>
      <c r="G9" s="58" t="s">
        <v>446</v>
      </c>
      <c r="H9" s="55" t="s">
        <v>221</v>
      </c>
    </row>
    <row r="10" spans="1:8" x14ac:dyDescent="0.25">
      <c r="A10" s="79">
        <v>9</v>
      </c>
      <c r="B10" s="79" t="s">
        <v>89</v>
      </c>
      <c r="C10" s="11" t="s">
        <v>152</v>
      </c>
      <c r="D10" s="11" t="s">
        <v>216</v>
      </c>
      <c r="E10" s="11" t="s">
        <v>741</v>
      </c>
      <c r="F10" s="54" t="s">
        <v>151</v>
      </c>
      <c r="G10" s="58" t="s">
        <v>222</v>
      </c>
      <c r="H10" s="55" t="s">
        <v>221</v>
      </c>
    </row>
    <row r="11" spans="1:8" x14ac:dyDescent="0.25">
      <c r="A11" s="79">
        <v>10</v>
      </c>
      <c r="B11" s="79" t="s">
        <v>89</v>
      </c>
      <c r="C11" s="11" t="s">
        <v>159</v>
      </c>
      <c r="D11" s="11" t="s">
        <v>212</v>
      </c>
      <c r="E11" s="11" t="s">
        <v>157</v>
      </c>
      <c r="F11" s="54" t="s">
        <v>158</v>
      </c>
      <c r="G11" s="58" t="s">
        <v>466</v>
      </c>
      <c r="H11" s="55" t="s">
        <v>221</v>
      </c>
    </row>
    <row r="12" spans="1:8" x14ac:dyDescent="0.25">
      <c r="A12" s="79">
        <v>11</v>
      </c>
      <c r="B12" s="79" t="s">
        <v>89</v>
      </c>
      <c r="C12" s="11" t="s">
        <v>165</v>
      </c>
      <c r="D12" s="11" t="s">
        <v>216</v>
      </c>
      <c r="E12" s="11" t="s">
        <v>163</v>
      </c>
      <c r="F12" s="54" t="s">
        <v>164</v>
      </c>
      <c r="G12" s="58" t="s">
        <v>222</v>
      </c>
      <c r="H12" s="55" t="s">
        <v>221</v>
      </c>
    </row>
    <row r="13" spans="1:8" x14ac:dyDescent="0.25">
      <c r="A13" s="79">
        <v>12</v>
      </c>
      <c r="B13" s="79" t="s">
        <v>89</v>
      </c>
      <c r="C13" s="11" t="s">
        <v>171</v>
      </c>
      <c r="D13" s="11" t="s">
        <v>212</v>
      </c>
      <c r="E13" s="11" t="s">
        <v>169</v>
      </c>
      <c r="F13" s="54" t="s">
        <v>170</v>
      </c>
      <c r="G13" s="58" t="s">
        <v>466</v>
      </c>
      <c r="H13" s="55" t="s">
        <v>221</v>
      </c>
    </row>
    <row r="14" spans="1:8" x14ac:dyDescent="0.25">
      <c r="A14" s="79">
        <v>13</v>
      </c>
      <c r="B14" s="79" t="s">
        <v>89</v>
      </c>
      <c r="C14" s="11" t="s">
        <v>173</v>
      </c>
      <c r="D14" s="11" t="s">
        <v>214</v>
      </c>
      <c r="E14" s="11" t="s">
        <v>742</v>
      </c>
      <c r="F14" s="54" t="s">
        <v>172</v>
      </c>
      <c r="G14" s="58" t="s">
        <v>446</v>
      </c>
      <c r="H14" s="55" t="s">
        <v>221</v>
      </c>
    </row>
    <row r="15" spans="1:8" x14ac:dyDescent="0.25">
      <c r="A15" s="79">
        <v>14</v>
      </c>
      <c r="B15" s="79" t="s">
        <v>89</v>
      </c>
      <c r="C15" s="11" t="s">
        <v>176</v>
      </c>
      <c r="D15" s="11" t="s">
        <v>215</v>
      </c>
      <c r="E15" s="11" t="s">
        <v>174</v>
      </c>
      <c r="F15" s="54" t="s">
        <v>175</v>
      </c>
      <c r="G15" s="58" t="s">
        <v>696</v>
      </c>
      <c r="H15" s="55" t="s">
        <v>221</v>
      </c>
    </row>
    <row r="16" spans="1:8" x14ac:dyDescent="0.25">
      <c r="A16" s="79">
        <v>15</v>
      </c>
      <c r="B16" s="79" t="s">
        <v>89</v>
      </c>
      <c r="C16" s="11" t="s">
        <v>179</v>
      </c>
      <c r="D16" s="11" t="s">
        <v>210</v>
      </c>
      <c r="E16" s="11" t="s">
        <v>177</v>
      </c>
      <c r="F16" s="54" t="s">
        <v>178</v>
      </c>
      <c r="G16" s="58" t="s">
        <v>446</v>
      </c>
      <c r="H16" s="55" t="s">
        <v>221</v>
      </c>
    </row>
    <row r="17" spans="1:8" x14ac:dyDescent="0.25">
      <c r="A17" s="79">
        <v>16</v>
      </c>
      <c r="B17" s="79" t="s">
        <v>89</v>
      </c>
      <c r="C17" s="11" t="s">
        <v>181</v>
      </c>
      <c r="D17" s="11" t="s">
        <v>212</v>
      </c>
      <c r="E17" s="11" t="s">
        <v>743</v>
      </c>
      <c r="F17" s="54" t="s">
        <v>180</v>
      </c>
      <c r="G17" s="58" t="s">
        <v>466</v>
      </c>
      <c r="H17" s="55" t="s">
        <v>221</v>
      </c>
    </row>
    <row r="18" spans="1:8" x14ac:dyDescent="0.25">
      <c r="A18" s="79">
        <v>17</v>
      </c>
      <c r="B18" s="79" t="s">
        <v>89</v>
      </c>
      <c r="C18" s="11" t="s">
        <v>184</v>
      </c>
      <c r="D18" s="11" t="s">
        <v>291</v>
      </c>
      <c r="E18" s="11" t="s">
        <v>182</v>
      </c>
      <c r="F18" s="54" t="s">
        <v>183</v>
      </c>
      <c r="G18" s="58" t="s">
        <v>511</v>
      </c>
      <c r="H18" s="55" t="s">
        <v>221</v>
      </c>
    </row>
    <row r="19" spans="1:8" x14ac:dyDescent="0.25">
      <c r="A19" s="79">
        <v>18</v>
      </c>
      <c r="B19" s="79" t="s">
        <v>89</v>
      </c>
      <c r="C19" s="11" t="s">
        <v>188</v>
      </c>
      <c r="D19" s="11" t="s">
        <v>219</v>
      </c>
      <c r="E19" s="11" t="s">
        <v>186</v>
      </c>
      <c r="F19" s="54" t="s">
        <v>187</v>
      </c>
      <c r="G19" s="58" t="s">
        <v>444</v>
      </c>
      <c r="H19" s="55" t="s">
        <v>221</v>
      </c>
    </row>
    <row r="20" spans="1:8" x14ac:dyDescent="0.25">
      <c r="A20" s="79">
        <v>19</v>
      </c>
      <c r="B20" s="79" t="s">
        <v>89</v>
      </c>
      <c r="C20" s="11" t="s">
        <v>191</v>
      </c>
      <c r="D20" s="11" t="s">
        <v>212</v>
      </c>
      <c r="E20" s="11" t="s">
        <v>189</v>
      </c>
      <c r="F20" s="54" t="s">
        <v>190</v>
      </c>
      <c r="G20" s="58" t="s">
        <v>466</v>
      </c>
      <c r="H20" s="55" t="s">
        <v>221</v>
      </c>
    </row>
    <row r="21" spans="1:8" x14ac:dyDescent="0.25">
      <c r="A21" s="79">
        <v>20</v>
      </c>
      <c r="B21" s="79" t="s">
        <v>89</v>
      </c>
      <c r="C21" s="11" t="s">
        <v>185</v>
      </c>
      <c r="D21" s="11" t="s">
        <v>214</v>
      </c>
      <c r="E21" s="11" t="s">
        <v>192</v>
      </c>
      <c r="F21" s="54" t="s">
        <v>193</v>
      </c>
      <c r="G21" s="58" t="s">
        <v>446</v>
      </c>
      <c r="H21" s="55" t="s">
        <v>221</v>
      </c>
    </row>
    <row r="22" spans="1:8" x14ac:dyDescent="0.25">
      <c r="A22" s="79">
        <v>21</v>
      </c>
      <c r="B22" s="79" t="s">
        <v>89</v>
      </c>
      <c r="C22" s="11" t="s">
        <v>196</v>
      </c>
      <c r="D22" s="11" t="s">
        <v>212</v>
      </c>
      <c r="E22" s="11" t="s">
        <v>194</v>
      </c>
      <c r="F22" s="54" t="s">
        <v>195</v>
      </c>
      <c r="G22" s="58" t="s">
        <v>466</v>
      </c>
      <c r="H22" s="55" t="s">
        <v>221</v>
      </c>
    </row>
    <row r="23" spans="1:8" x14ac:dyDescent="0.25">
      <c r="A23" s="79">
        <v>22</v>
      </c>
      <c r="B23" s="79" t="s">
        <v>89</v>
      </c>
      <c r="C23" s="11" t="s">
        <v>197</v>
      </c>
      <c r="D23" s="11" t="s">
        <v>212</v>
      </c>
      <c r="E23" s="11" t="s">
        <v>197</v>
      </c>
      <c r="F23" s="54" t="s">
        <v>198</v>
      </c>
      <c r="G23" s="58" t="s">
        <v>466</v>
      </c>
      <c r="H23" s="55" t="s">
        <v>221</v>
      </c>
    </row>
    <row r="24" spans="1:8" x14ac:dyDescent="0.25">
      <c r="A24" s="79">
        <v>23</v>
      </c>
      <c r="B24" s="79" t="s">
        <v>89</v>
      </c>
      <c r="C24" s="11" t="s">
        <v>201</v>
      </c>
      <c r="D24" s="11" t="s">
        <v>216</v>
      </c>
      <c r="E24" s="11" t="s">
        <v>199</v>
      </c>
      <c r="F24" s="54" t="s">
        <v>200</v>
      </c>
      <c r="G24" s="58" t="s">
        <v>222</v>
      </c>
      <c r="H24" s="55" t="s">
        <v>221</v>
      </c>
    </row>
    <row r="25" spans="1:8" x14ac:dyDescent="0.25">
      <c r="A25" s="79">
        <v>24</v>
      </c>
      <c r="B25" s="79" t="s">
        <v>89</v>
      </c>
      <c r="C25" s="11" t="s">
        <v>206</v>
      </c>
      <c r="D25" s="11" t="s">
        <v>217</v>
      </c>
      <c r="E25" s="11" t="s">
        <v>744</v>
      </c>
      <c r="F25" s="54" t="s">
        <v>205</v>
      </c>
      <c r="G25" s="58" t="s">
        <v>222</v>
      </c>
      <c r="H25" s="55" t="s">
        <v>221</v>
      </c>
    </row>
    <row r="26" spans="1:8" x14ac:dyDescent="0.25">
      <c r="A26" s="79">
        <v>25</v>
      </c>
      <c r="B26" s="79" t="s">
        <v>89</v>
      </c>
      <c r="C26" s="11" t="s">
        <v>226</v>
      </c>
      <c r="D26" s="11" t="s">
        <v>210</v>
      </c>
      <c r="E26" s="11" t="s">
        <v>745</v>
      </c>
      <c r="F26" s="54" t="s">
        <v>223</v>
      </c>
      <c r="G26" s="58" t="s">
        <v>446</v>
      </c>
      <c r="H26" s="55" t="s">
        <v>221</v>
      </c>
    </row>
    <row r="27" spans="1:8" x14ac:dyDescent="0.25">
      <c r="A27" s="79">
        <v>26</v>
      </c>
      <c r="B27" s="79" t="s">
        <v>89</v>
      </c>
      <c r="C27" s="11" t="s">
        <v>227</v>
      </c>
      <c r="D27" s="11" t="s">
        <v>210</v>
      </c>
      <c r="E27" s="11" t="s">
        <v>224</v>
      </c>
      <c r="F27" s="54" t="s">
        <v>225</v>
      </c>
      <c r="G27" s="58" t="s">
        <v>446</v>
      </c>
      <c r="H27" s="55" t="s">
        <v>221</v>
      </c>
    </row>
    <row r="28" spans="1:8" x14ac:dyDescent="0.25">
      <c r="A28" s="79">
        <v>27</v>
      </c>
      <c r="B28" s="79" t="s">
        <v>89</v>
      </c>
      <c r="C28" s="11" t="s">
        <v>229</v>
      </c>
      <c r="D28" s="11" t="s">
        <v>291</v>
      </c>
      <c r="E28" s="11" t="s">
        <v>746</v>
      </c>
      <c r="F28" s="54" t="s">
        <v>121</v>
      </c>
      <c r="G28" s="58" t="s">
        <v>447</v>
      </c>
      <c r="H28" s="55" t="s">
        <v>221</v>
      </c>
    </row>
    <row r="29" spans="1:8" x14ac:dyDescent="0.25">
      <c r="A29" s="79">
        <v>28</v>
      </c>
      <c r="B29" s="79" t="s">
        <v>89</v>
      </c>
      <c r="C29" s="11" t="s">
        <v>241</v>
      </c>
      <c r="D29" s="11" t="s">
        <v>212</v>
      </c>
      <c r="E29" s="11" t="s">
        <v>747</v>
      </c>
      <c r="F29" s="54" t="s">
        <v>125</v>
      </c>
      <c r="G29" s="58" t="s">
        <v>466</v>
      </c>
      <c r="H29" s="55" t="s">
        <v>221</v>
      </c>
    </row>
    <row r="30" spans="1:8" x14ac:dyDescent="0.25">
      <c r="A30" s="79">
        <v>29</v>
      </c>
      <c r="B30" s="79" t="s">
        <v>89</v>
      </c>
      <c r="C30" s="11" t="s">
        <v>226</v>
      </c>
      <c r="D30" s="11" t="s">
        <v>210</v>
      </c>
      <c r="E30" s="11" t="s">
        <v>238</v>
      </c>
      <c r="F30" s="54" t="s">
        <v>149</v>
      </c>
      <c r="G30" s="58" t="s">
        <v>446</v>
      </c>
      <c r="H30" s="55" t="s">
        <v>221</v>
      </c>
    </row>
    <row r="31" spans="1:8" x14ac:dyDescent="0.25">
      <c r="A31" s="79">
        <v>30</v>
      </c>
      <c r="B31" s="79" t="s">
        <v>89</v>
      </c>
      <c r="C31" s="11" t="s">
        <v>280</v>
      </c>
      <c r="D31" s="11" t="s">
        <v>212</v>
      </c>
      <c r="E31" s="11" t="s">
        <v>244</v>
      </c>
      <c r="F31" s="54" t="s">
        <v>245</v>
      </c>
      <c r="G31" s="58" t="s">
        <v>514</v>
      </c>
      <c r="H31" s="55" t="s">
        <v>221</v>
      </c>
    </row>
    <row r="32" spans="1:8" x14ac:dyDescent="0.25">
      <c r="A32" s="79">
        <v>31</v>
      </c>
      <c r="B32" s="79" t="s">
        <v>89</v>
      </c>
      <c r="C32" s="11" t="s">
        <v>287</v>
      </c>
      <c r="D32" s="11" t="s">
        <v>291</v>
      </c>
      <c r="E32" s="11" t="s">
        <v>248</v>
      </c>
      <c r="F32" s="54" t="s">
        <v>249</v>
      </c>
      <c r="G32" s="58" t="s">
        <v>517</v>
      </c>
      <c r="H32" s="55" t="s">
        <v>221</v>
      </c>
    </row>
    <row r="33" spans="1:8" x14ac:dyDescent="0.25">
      <c r="A33" s="79">
        <v>32</v>
      </c>
      <c r="B33" s="79" t="s">
        <v>89</v>
      </c>
      <c r="C33" s="11" t="s">
        <v>295</v>
      </c>
      <c r="D33" s="11" t="s">
        <v>214</v>
      </c>
      <c r="E33" s="11" t="s">
        <v>748</v>
      </c>
      <c r="F33" s="54" t="s">
        <v>250</v>
      </c>
      <c r="G33" s="58" t="s">
        <v>446</v>
      </c>
      <c r="H33" s="55" t="s">
        <v>221</v>
      </c>
    </row>
    <row r="34" spans="1:8" x14ac:dyDescent="0.25">
      <c r="A34" s="79">
        <v>33</v>
      </c>
      <c r="B34" s="79" t="s">
        <v>89</v>
      </c>
      <c r="C34" s="11" t="s">
        <v>253</v>
      </c>
      <c r="D34" s="11" t="s">
        <v>212</v>
      </c>
      <c r="E34" s="11" t="s">
        <v>253</v>
      </c>
      <c r="F34" s="54" t="s">
        <v>125</v>
      </c>
      <c r="G34" s="58" t="s">
        <v>466</v>
      </c>
      <c r="H34" s="55" t="s">
        <v>221</v>
      </c>
    </row>
    <row r="35" spans="1:8" x14ac:dyDescent="0.25">
      <c r="A35" s="79">
        <v>34</v>
      </c>
      <c r="B35" s="79" t="s">
        <v>89</v>
      </c>
      <c r="C35" s="11" t="s">
        <v>297</v>
      </c>
      <c r="D35" s="11" t="s">
        <v>291</v>
      </c>
      <c r="E35" s="11" t="s">
        <v>749</v>
      </c>
      <c r="F35" s="54" t="s">
        <v>254</v>
      </c>
      <c r="G35" s="58" t="s">
        <v>447</v>
      </c>
      <c r="H35" s="55" t="s">
        <v>221</v>
      </c>
    </row>
    <row r="36" spans="1:8" x14ac:dyDescent="0.25">
      <c r="A36" s="79">
        <v>35</v>
      </c>
      <c r="B36" s="79" t="s">
        <v>89</v>
      </c>
      <c r="C36" s="11" t="s">
        <v>281</v>
      </c>
      <c r="D36" s="11" t="s">
        <v>288</v>
      </c>
      <c r="E36" s="11" t="s">
        <v>255</v>
      </c>
      <c r="F36" s="54" t="s">
        <v>256</v>
      </c>
      <c r="G36" s="58" t="s">
        <v>703</v>
      </c>
      <c r="H36" s="55" t="s">
        <v>221</v>
      </c>
    </row>
    <row r="37" spans="1:8" x14ac:dyDescent="0.25">
      <c r="A37" s="79">
        <v>36</v>
      </c>
      <c r="B37" s="79" t="s">
        <v>89</v>
      </c>
      <c r="C37" s="11" t="s">
        <v>286</v>
      </c>
      <c r="D37" s="11" t="s">
        <v>289</v>
      </c>
      <c r="E37" s="11" t="s">
        <v>269</v>
      </c>
      <c r="F37" s="54" t="s">
        <v>270</v>
      </c>
      <c r="G37" s="58" t="s">
        <v>708</v>
      </c>
      <c r="H37" s="55" t="s">
        <v>221</v>
      </c>
    </row>
    <row r="38" spans="1:8" x14ac:dyDescent="0.25">
      <c r="A38" s="79">
        <v>37</v>
      </c>
      <c r="B38" s="79" t="s">
        <v>89</v>
      </c>
      <c r="C38" s="11" t="s">
        <v>273</v>
      </c>
      <c r="D38" s="11" t="s">
        <v>212</v>
      </c>
      <c r="E38" s="11" t="s">
        <v>273</v>
      </c>
      <c r="F38" s="54" t="s">
        <v>125</v>
      </c>
      <c r="G38" s="58" t="s">
        <v>466</v>
      </c>
      <c r="H38" s="55" t="s">
        <v>221</v>
      </c>
    </row>
    <row r="39" spans="1:8" x14ac:dyDescent="0.25">
      <c r="A39" s="79">
        <v>38</v>
      </c>
      <c r="B39" s="79" t="s">
        <v>89</v>
      </c>
      <c r="C39" s="11" t="s">
        <v>308</v>
      </c>
      <c r="D39" s="11" t="s">
        <v>210</v>
      </c>
      <c r="E39" s="11" t="s">
        <v>274</v>
      </c>
      <c r="F39" s="54" t="s">
        <v>142</v>
      </c>
      <c r="G39" s="58" t="s">
        <v>446</v>
      </c>
      <c r="H39" s="55" t="s">
        <v>221</v>
      </c>
    </row>
    <row r="40" spans="1:8" x14ac:dyDescent="0.25">
      <c r="A40" s="79">
        <v>39</v>
      </c>
      <c r="B40" s="79" t="s">
        <v>89</v>
      </c>
      <c r="C40" s="11" t="s">
        <v>299</v>
      </c>
      <c r="D40" s="11" t="s">
        <v>212</v>
      </c>
      <c r="E40" s="11" t="s">
        <v>275</v>
      </c>
      <c r="F40" s="54" t="s">
        <v>276</v>
      </c>
      <c r="G40" s="58" t="s">
        <v>466</v>
      </c>
      <c r="H40" s="55" t="s">
        <v>221</v>
      </c>
    </row>
    <row r="41" spans="1:8" x14ac:dyDescent="0.25">
      <c r="A41" s="79">
        <v>40</v>
      </c>
      <c r="B41" s="79" t="s">
        <v>89</v>
      </c>
      <c r="C41" s="11" t="s">
        <v>309</v>
      </c>
      <c r="D41" s="11" t="s">
        <v>216</v>
      </c>
      <c r="E41" s="11" t="s">
        <v>750</v>
      </c>
      <c r="F41" s="54" t="s">
        <v>277</v>
      </c>
      <c r="G41" s="58" t="s">
        <v>222</v>
      </c>
      <c r="H41" s="55" t="s">
        <v>221</v>
      </c>
    </row>
    <row r="42" spans="1:8" x14ac:dyDescent="0.25">
      <c r="A42" s="79">
        <v>41</v>
      </c>
      <c r="B42" s="79" t="s">
        <v>89</v>
      </c>
      <c r="C42" s="11" t="s">
        <v>278</v>
      </c>
      <c r="D42" s="11" t="s">
        <v>216</v>
      </c>
      <c r="E42" s="11" t="s">
        <v>294</v>
      </c>
      <c r="F42" s="54" t="s">
        <v>279</v>
      </c>
      <c r="G42" s="58" t="s">
        <v>222</v>
      </c>
      <c r="H42" s="55" t="s">
        <v>221</v>
      </c>
    </row>
    <row r="43" spans="1:8" x14ac:dyDescent="0.25">
      <c r="A43" s="79">
        <v>42</v>
      </c>
      <c r="B43" s="79" t="s">
        <v>89</v>
      </c>
      <c r="C43" s="11" t="s">
        <v>396</v>
      </c>
      <c r="D43" s="11" t="s">
        <v>212</v>
      </c>
      <c r="E43" s="11" t="s">
        <v>751</v>
      </c>
      <c r="F43" s="54" t="s">
        <v>312</v>
      </c>
      <c r="G43" s="58" t="s">
        <v>466</v>
      </c>
      <c r="H43" s="55" t="s">
        <v>221</v>
      </c>
    </row>
    <row r="44" spans="1:8" x14ac:dyDescent="0.25">
      <c r="A44" s="79">
        <v>43</v>
      </c>
      <c r="B44" s="79" t="s">
        <v>89</v>
      </c>
      <c r="C44" s="11" t="s">
        <v>399</v>
      </c>
      <c r="D44" s="11" t="s">
        <v>212</v>
      </c>
      <c r="E44" s="11" t="s">
        <v>313</v>
      </c>
      <c r="F44" s="54" t="s">
        <v>314</v>
      </c>
      <c r="G44" s="58" t="s">
        <v>466</v>
      </c>
      <c r="H44" s="55" t="s">
        <v>221</v>
      </c>
    </row>
    <row r="45" spans="1:8" x14ac:dyDescent="0.25">
      <c r="A45" s="79">
        <v>44</v>
      </c>
      <c r="B45" s="79" t="s">
        <v>89</v>
      </c>
      <c r="C45" s="11" t="s">
        <v>397</v>
      </c>
      <c r="D45" s="11" t="s">
        <v>212</v>
      </c>
      <c r="E45" s="11" t="s">
        <v>316</v>
      </c>
      <c r="F45" s="54" t="s">
        <v>317</v>
      </c>
      <c r="G45" s="58" t="s">
        <v>514</v>
      </c>
      <c r="H45" s="55" t="s">
        <v>221</v>
      </c>
    </row>
    <row r="46" spans="1:8" x14ac:dyDescent="0.25">
      <c r="A46" s="79">
        <v>45</v>
      </c>
      <c r="B46" s="79" t="s">
        <v>89</v>
      </c>
      <c r="C46" s="11" t="s">
        <v>398</v>
      </c>
      <c r="D46" s="11" t="s">
        <v>289</v>
      </c>
      <c r="E46" s="11" t="s">
        <v>752</v>
      </c>
      <c r="F46" s="54" t="s">
        <v>318</v>
      </c>
      <c r="G46" s="58" t="s">
        <v>708</v>
      </c>
      <c r="H46" s="55" t="s">
        <v>221</v>
      </c>
    </row>
    <row r="47" spans="1:8" x14ac:dyDescent="0.25">
      <c r="A47" s="79">
        <v>46</v>
      </c>
      <c r="B47" s="79" t="s">
        <v>89</v>
      </c>
      <c r="C47" s="11" t="s">
        <v>407</v>
      </c>
      <c r="D47" s="11" t="s">
        <v>214</v>
      </c>
      <c r="E47" s="11" t="s">
        <v>321</v>
      </c>
      <c r="F47" s="54" t="s">
        <v>322</v>
      </c>
      <c r="G47" s="58" t="s">
        <v>446</v>
      </c>
      <c r="H47" s="55" t="s">
        <v>221</v>
      </c>
    </row>
    <row r="48" spans="1:8" x14ac:dyDescent="0.25">
      <c r="A48" s="79">
        <v>47</v>
      </c>
      <c r="B48" s="79" t="s">
        <v>89</v>
      </c>
      <c r="C48" s="11" t="s">
        <v>413</v>
      </c>
      <c r="D48" s="11" t="s">
        <v>412</v>
      </c>
      <c r="E48" s="11" t="s">
        <v>326</v>
      </c>
      <c r="F48" s="54" t="s">
        <v>327</v>
      </c>
      <c r="G48" s="58" t="s">
        <v>711</v>
      </c>
      <c r="H48" s="55" t="s">
        <v>221</v>
      </c>
    </row>
    <row r="49" spans="1:8" x14ac:dyDescent="0.25">
      <c r="A49" s="79">
        <v>48</v>
      </c>
      <c r="B49" s="79" t="s">
        <v>89</v>
      </c>
      <c r="C49" s="11" t="s">
        <v>402</v>
      </c>
      <c r="D49" s="11" t="s">
        <v>415</v>
      </c>
      <c r="E49" s="11" t="s">
        <v>328</v>
      </c>
      <c r="F49" s="54" t="s">
        <v>329</v>
      </c>
      <c r="G49" s="58" t="s">
        <v>712</v>
      </c>
      <c r="H49" s="55" t="s">
        <v>221</v>
      </c>
    </row>
    <row r="50" spans="1:8" x14ac:dyDescent="0.25">
      <c r="A50" s="79">
        <v>49</v>
      </c>
      <c r="B50" s="79" t="s">
        <v>89</v>
      </c>
      <c r="C50" s="11" t="s">
        <v>419</v>
      </c>
      <c r="D50" s="11" t="s">
        <v>212</v>
      </c>
      <c r="E50" s="11" t="s">
        <v>753</v>
      </c>
      <c r="F50" s="54" t="s">
        <v>125</v>
      </c>
      <c r="G50" s="58" t="s">
        <v>466</v>
      </c>
      <c r="H50" s="55" t="s">
        <v>221</v>
      </c>
    </row>
    <row r="51" spans="1:8" x14ac:dyDescent="0.25">
      <c r="A51" s="79">
        <v>50</v>
      </c>
      <c r="B51" s="79" t="s">
        <v>89</v>
      </c>
      <c r="C51" s="11" t="s">
        <v>409</v>
      </c>
      <c r="D51" s="11" t="s">
        <v>291</v>
      </c>
      <c r="E51" s="11" t="s">
        <v>754</v>
      </c>
      <c r="F51" s="54" t="s">
        <v>334</v>
      </c>
      <c r="G51" s="58" t="s">
        <v>511</v>
      </c>
      <c r="H51" s="55" t="s">
        <v>221</v>
      </c>
    </row>
    <row r="52" spans="1:8" x14ac:dyDescent="0.25">
      <c r="A52" s="79">
        <v>51</v>
      </c>
      <c r="B52" s="79" t="s">
        <v>89</v>
      </c>
      <c r="C52" s="11" t="s">
        <v>426</v>
      </c>
      <c r="D52" s="11" t="s">
        <v>291</v>
      </c>
      <c r="E52" s="11" t="s">
        <v>335</v>
      </c>
      <c r="F52" s="54" t="s">
        <v>336</v>
      </c>
      <c r="G52" s="58" t="s">
        <v>447</v>
      </c>
      <c r="H52" s="55" t="s">
        <v>221</v>
      </c>
    </row>
    <row r="53" spans="1:8" x14ac:dyDescent="0.25">
      <c r="A53" s="79">
        <v>52</v>
      </c>
      <c r="B53" s="79" t="s">
        <v>89</v>
      </c>
      <c r="C53" s="11" t="s">
        <v>404</v>
      </c>
      <c r="D53" s="11" t="s">
        <v>428</v>
      </c>
      <c r="E53" s="11" t="s">
        <v>337</v>
      </c>
      <c r="F53" s="54" t="s">
        <v>338</v>
      </c>
      <c r="G53" s="58" t="s">
        <v>714</v>
      </c>
      <c r="H53" s="55" t="s">
        <v>221</v>
      </c>
    </row>
    <row r="54" spans="1:8" x14ac:dyDescent="0.25">
      <c r="A54" s="79">
        <v>53</v>
      </c>
      <c r="B54" s="79" t="s">
        <v>89</v>
      </c>
      <c r="C54" s="11" t="s">
        <v>431</v>
      </c>
      <c r="D54" s="11" t="s">
        <v>430</v>
      </c>
      <c r="E54" s="11" t="s">
        <v>755</v>
      </c>
      <c r="F54" s="54" t="s">
        <v>339</v>
      </c>
      <c r="G54" s="58" t="s">
        <v>715</v>
      </c>
      <c r="H54" s="55" t="s">
        <v>221</v>
      </c>
    </row>
    <row r="55" spans="1:8" x14ac:dyDescent="0.25">
      <c r="A55" s="79">
        <v>54</v>
      </c>
      <c r="B55" s="79" t="s">
        <v>89</v>
      </c>
      <c r="C55" s="11" t="s">
        <v>434</v>
      </c>
      <c r="D55" s="11" t="s">
        <v>291</v>
      </c>
      <c r="E55" s="11" t="s">
        <v>340</v>
      </c>
      <c r="F55" s="54" t="s">
        <v>341</v>
      </c>
      <c r="G55" s="58" t="s">
        <v>447</v>
      </c>
      <c r="H55" s="55" t="s">
        <v>221</v>
      </c>
    </row>
    <row r="56" spans="1:8" x14ac:dyDescent="0.25">
      <c r="A56" s="79">
        <v>55</v>
      </c>
      <c r="B56" s="79" t="s">
        <v>89</v>
      </c>
      <c r="C56" s="11" t="s">
        <v>346</v>
      </c>
      <c r="D56" s="11" t="s">
        <v>208</v>
      </c>
      <c r="E56" s="11" t="s">
        <v>346</v>
      </c>
      <c r="F56" s="54" t="s">
        <v>347</v>
      </c>
      <c r="G56" s="58" t="s">
        <v>717</v>
      </c>
      <c r="H56" s="55" t="s">
        <v>221</v>
      </c>
    </row>
    <row r="57" spans="1:8" x14ac:dyDescent="0.25">
      <c r="A57" s="79">
        <v>56</v>
      </c>
      <c r="B57" s="79" t="s">
        <v>89</v>
      </c>
      <c r="C57" s="11" t="s">
        <v>440</v>
      </c>
      <c r="D57" s="11" t="s">
        <v>288</v>
      </c>
      <c r="E57" s="11" t="s">
        <v>423</v>
      </c>
      <c r="F57" s="54" t="s">
        <v>351</v>
      </c>
      <c r="G57" s="58" t="s">
        <v>569</v>
      </c>
      <c r="H57" s="55" t="s">
        <v>221</v>
      </c>
    </row>
    <row r="58" spans="1:8" x14ac:dyDescent="0.25">
      <c r="A58" s="79">
        <v>57</v>
      </c>
      <c r="B58" s="79" t="s">
        <v>89</v>
      </c>
      <c r="C58" s="11" t="s">
        <v>427</v>
      </c>
      <c r="D58" s="11" t="s">
        <v>429</v>
      </c>
      <c r="E58" s="11" t="s">
        <v>359</v>
      </c>
      <c r="F58" s="54" t="s">
        <v>360</v>
      </c>
      <c r="G58" s="58" t="s">
        <v>721</v>
      </c>
      <c r="H58" s="55" t="s">
        <v>221</v>
      </c>
    </row>
    <row r="59" spans="1:8" x14ac:dyDescent="0.25">
      <c r="A59" s="79">
        <v>58</v>
      </c>
      <c r="B59" s="79" t="s">
        <v>89</v>
      </c>
      <c r="C59" s="11" t="s">
        <v>424</v>
      </c>
      <c r="D59" s="11" t="s">
        <v>289</v>
      </c>
      <c r="E59" s="11" t="s">
        <v>361</v>
      </c>
      <c r="F59" s="54" t="s">
        <v>362</v>
      </c>
      <c r="G59" s="58" t="s">
        <v>708</v>
      </c>
      <c r="H59" s="55" t="s">
        <v>221</v>
      </c>
    </row>
    <row r="60" spans="1:8" x14ac:dyDescent="0.25">
      <c r="A60" s="79">
        <v>59</v>
      </c>
      <c r="B60" s="79" t="s">
        <v>89</v>
      </c>
      <c r="C60" s="11" t="s">
        <v>443</v>
      </c>
      <c r="D60" s="11" t="s">
        <v>216</v>
      </c>
      <c r="E60" s="11" t="s">
        <v>425</v>
      </c>
      <c r="F60" s="54" t="s">
        <v>365</v>
      </c>
      <c r="G60" s="58" t="s">
        <v>222</v>
      </c>
      <c r="H60" s="55" t="s">
        <v>221</v>
      </c>
    </row>
    <row r="61" spans="1:8" x14ac:dyDescent="0.25">
      <c r="A61" s="79">
        <v>60</v>
      </c>
      <c r="B61" s="79" t="s">
        <v>89</v>
      </c>
      <c r="C61" s="11" t="s">
        <v>439</v>
      </c>
      <c r="D61" s="11" t="s">
        <v>219</v>
      </c>
      <c r="E61" s="11" t="s">
        <v>366</v>
      </c>
      <c r="F61" s="54" t="s">
        <v>367</v>
      </c>
      <c r="G61" s="58" t="s">
        <v>444</v>
      </c>
      <c r="H61" s="55" t="s">
        <v>221</v>
      </c>
    </row>
    <row r="62" spans="1:8" x14ac:dyDescent="0.25">
      <c r="A62" s="79">
        <v>61</v>
      </c>
      <c r="B62" s="79" t="s">
        <v>89</v>
      </c>
      <c r="C62" s="11" t="s">
        <v>454</v>
      </c>
      <c r="D62" s="11" t="s">
        <v>214</v>
      </c>
      <c r="E62" s="11" t="s">
        <v>370</v>
      </c>
      <c r="F62" s="54" t="s">
        <v>371</v>
      </c>
      <c r="G62" s="58" t="s">
        <v>446</v>
      </c>
      <c r="H62" s="55" t="s">
        <v>221</v>
      </c>
    </row>
    <row r="63" spans="1:8" x14ac:dyDescent="0.25">
      <c r="A63" s="79">
        <v>62</v>
      </c>
      <c r="B63" s="79" t="s">
        <v>89</v>
      </c>
      <c r="C63" s="11" t="s">
        <v>372</v>
      </c>
      <c r="D63" s="11" t="s">
        <v>212</v>
      </c>
      <c r="E63" s="11" t="s">
        <v>372</v>
      </c>
      <c r="F63" s="54" t="s">
        <v>373</v>
      </c>
      <c r="G63" s="58" t="s">
        <v>466</v>
      </c>
      <c r="H63" s="55" t="s">
        <v>221</v>
      </c>
    </row>
    <row r="64" spans="1:8" x14ac:dyDescent="0.25">
      <c r="A64" s="79">
        <v>63</v>
      </c>
      <c r="B64" s="79" t="s">
        <v>89</v>
      </c>
      <c r="C64" s="11" t="s">
        <v>462</v>
      </c>
      <c r="D64" s="11" t="s">
        <v>291</v>
      </c>
      <c r="E64" s="11" t="s">
        <v>377</v>
      </c>
      <c r="F64" s="54" t="s">
        <v>378</v>
      </c>
      <c r="G64" s="58" t="s">
        <v>447</v>
      </c>
      <c r="H64" s="55" t="s">
        <v>221</v>
      </c>
    </row>
    <row r="65" spans="1:8" x14ac:dyDescent="0.25">
      <c r="A65" s="79">
        <v>64</v>
      </c>
      <c r="B65" s="79" t="s">
        <v>89</v>
      </c>
      <c r="C65" s="11" t="s">
        <v>456</v>
      </c>
      <c r="D65" s="11" t="s">
        <v>216</v>
      </c>
      <c r="E65" s="11" t="s">
        <v>379</v>
      </c>
      <c r="F65" s="54" t="s">
        <v>380</v>
      </c>
      <c r="G65" s="58" t="s">
        <v>222</v>
      </c>
      <c r="H65" s="55" t="s">
        <v>221</v>
      </c>
    </row>
    <row r="66" spans="1:8" x14ac:dyDescent="0.25">
      <c r="A66" s="79">
        <v>65</v>
      </c>
      <c r="B66" s="79" t="s">
        <v>89</v>
      </c>
      <c r="C66" s="11" t="s">
        <v>460</v>
      </c>
      <c r="D66" s="11" t="s">
        <v>291</v>
      </c>
      <c r="E66" s="11" t="s">
        <v>381</v>
      </c>
      <c r="F66" s="54" t="s">
        <v>382</v>
      </c>
      <c r="G66" s="58" t="s">
        <v>517</v>
      </c>
      <c r="H66" s="55" t="s">
        <v>221</v>
      </c>
    </row>
    <row r="67" spans="1:8" x14ac:dyDescent="0.25">
      <c r="A67" s="79">
        <v>66</v>
      </c>
      <c r="B67" s="79" t="s">
        <v>89</v>
      </c>
      <c r="C67" s="11" t="s">
        <v>467</v>
      </c>
      <c r="D67" s="11" t="s">
        <v>214</v>
      </c>
      <c r="E67" s="11" t="s">
        <v>383</v>
      </c>
      <c r="F67" s="54" t="s">
        <v>384</v>
      </c>
      <c r="G67" s="58" t="s">
        <v>446</v>
      </c>
      <c r="H67" s="55" t="s">
        <v>221</v>
      </c>
    </row>
    <row r="68" spans="1:8" x14ac:dyDescent="0.25">
      <c r="A68" s="79">
        <v>67</v>
      </c>
      <c r="B68" s="79" t="s">
        <v>89</v>
      </c>
      <c r="C68" s="11" t="s">
        <v>469</v>
      </c>
      <c r="D68" s="11" t="s">
        <v>289</v>
      </c>
      <c r="E68" s="11" t="s">
        <v>385</v>
      </c>
      <c r="F68" s="54" t="s">
        <v>386</v>
      </c>
      <c r="G68" s="58" t="s">
        <v>708</v>
      </c>
      <c r="H68" s="55" t="s">
        <v>221</v>
      </c>
    </row>
    <row r="69" spans="1:8" x14ac:dyDescent="0.25">
      <c r="A69" s="79">
        <v>68</v>
      </c>
      <c r="B69" s="79" t="s">
        <v>89</v>
      </c>
      <c r="C69" s="11" t="s">
        <v>464</v>
      </c>
      <c r="D69" s="11" t="s">
        <v>212</v>
      </c>
      <c r="E69" s="11" t="s">
        <v>391</v>
      </c>
      <c r="F69" s="54" t="s">
        <v>392</v>
      </c>
      <c r="G69" s="58" t="s">
        <v>449</v>
      </c>
      <c r="H69" s="55" t="s">
        <v>221</v>
      </c>
    </row>
    <row r="70" spans="1:8" x14ac:dyDescent="0.25">
      <c r="A70" s="79">
        <v>69</v>
      </c>
      <c r="B70" s="79" t="s">
        <v>89</v>
      </c>
      <c r="C70" s="11" t="s">
        <v>457</v>
      </c>
      <c r="D70" s="11" t="s">
        <v>210</v>
      </c>
      <c r="E70" s="11" t="s">
        <v>393</v>
      </c>
      <c r="F70" s="54" t="s">
        <v>149</v>
      </c>
      <c r="G70" s="58" t="s">
        <v>446</v>
      </c>
      <c r="H70" s="55" t="s">
        <v>221</v>
      </c>
    </row>
    <row r="71" spans="1:8" x14ac:dyDescent="0.25">
      <c r="A71" s="79">
        <v>70</v>
      </c>
      <c r="B71" s="79" t="s">
        <v>89</v>
      </c>
      <c r="C71" s="11" t="s">
        <v>458</v>
      </c>
      <c r="D71" s="11" t="s">
        <v>212</v>
      </c>
      <c r="E71" s="11" t="s">
        <v>479</v>
      </c>
      <c r="F71" s="54" t="s">
        <v>480</v>
      </c>
      <c r="G71" s="58" t="s">
        <v>449</v>
      </c>
      <c r="H71" s="55" t="s">
        <v>221</v>
      </c>
    </row>
    <row r="72" spans="1:8" x14ac:dyDescent="0.25">
      <c r="A72" s="79">
        <v>71</v>
      </c>
      <c r="B72" s="79" t="s">
        <v>89</v>
      </c>
      <c r="C72" s="11" t="s">
        <v>474</v>
      </c>
      <c r="D72" s="11" t="s">
        <v>212</v>
      </c>
      <c r="E72" s="11" t="s">
        <v>481</v>
      </c>
      <c r="F72" s="54" t="s">
        <v>482</v>
      </c>
      <c r="G72" s="58" t="s">
        <v>466</v>
      </c>
      <c r="H72" s="55" t="s">
        <v>221</v>
      </c>
    </row>
    <row r="73" spans="1:8" x14ac:dyDescent="0.25">
      <c r="A73" s="79">
        <v>72</v>
      </c>
      <c r="B73" s="79" t="s">
        <v>89</v>
      </c>
      <c r="C73" s="11" t="s">
        <v>465</v>
      </c>
      <c r="D73" s="11" t="s">
        <v>216</v>
      </c>
      <c r="E73" s="11" t="s">
        <v>756</v>
      </c>
      <c r="F73" s="54" t="s">
        <v>483</v>
      </c>
      <c r="G73" s="58" t="s">
        <v>222</v>
      </c>
      <c r="H73" s="55" t="s">
        <v>221</v>
      </c>
    </row>
    <row r="74" spans="1:8" x14ac:dyDescent="0.25">
      <c r="A74" s="79">
        <v>73</v>
      </c>
      <c r="B74" s="79" t="s">
        <v>89</v>
      </c>
      <c r="C74" s="11" t="s">
        <v>475</v>
      </c>
      <c r="D74" s="11" t="s">
        <v>216</v>
      </c>
      <c r="E74" s="11" t="s">
        <v>484</v>
      </c>
      <c r="F74" s="54" t="s">
        <v>485</v>
      </c>
      <c r="G74" s="58" t="s">
        <v>222</v>
      </c>
      <c r="H74" s="55" t="s">
        <v>221</v>
      </c>
    </row>
    <row r="75" spans="1:8" x14ac:dyDescent="0.25">
      <c r="A75" s="79">
        <v>74</v>
      </c>
      <c r="B75" s="79" t="s">
        <v>89</v>
      </c>
      <c r="C75" s="11" t="s">
        <v>513</v>
      </c>
      <c r="D75" s="11" t="s">
        <v>212</v>
      </c>
      <c r="E75" s="11" t="s">
        <v>486</v>
      </c>
      <c r="F75" s="54" t="s">
        <v>487</v>
      </c>
      <c r="G75" s="58" t="s">
        <v>466</v>
      </c>
      <c r="H75" s="55" t="s">
        <v>221</v>
      </c>
    </row>
    <row r="76" spans="1:8" x14ac:dyDescent="0.25">
      <c r="A76" s="79">
        <v>75</v>
      </c>
      <c r="B76" s="79" t="s">
        <v>89</v>
      </c>
      <c r="C76" s="11" t="s">
        <v>476</v>
      </c>
      <c r="D76" s="11" t="s">
        <v>216</v>
      </c>
      <c r="E76" s="11" t="s">
        <v>488</v>
      </c>
      <c r="F76" s="54" t="s">
        <v>489</v>
      </c>
      <c r="G76" s="58" t="s">
        <v>222</v>
      </c>
      <c r="H76" s="55" t="s">
        <v>221</v>
      </c>
    </row>
    <row r="77" spans="1:8" x14ac:dyDescent="0.25">
      <c r="A77" s="79">
        <v>76</v>
      </c>
      <c r="B77" s="79" t="s">
        <v>89</v>
      </c>
      <c r="C77" s="11" t="s">
        <v>509</v>
      </c>
      <c r="D77" s="11" t="s">
        <v>291</v>
      </c>
      <c r="E77" s="11" t="s">
        <v>490</v>
      </c>
      <c r="F77" s="54" t="s">
        <v>491</v>
      </c>
      <c r="G77" s="58" t="s">
        <v>511</v>
      </c>
      <c r="H77" s="55" t="s">
        <v>221</v>
      </c>
    </row>
    <row r="78" spans="1:8" x14ac:dyDescent="0.25">
      <c r="A78" s="79">
        <v>77</v>
      </c>
      <c r="B78" s="79" t="s">
        <v>89</v>
      </c>
      <c r="C78" s="11" t="s">
        <v>506</v>
      </c>
      <c r="D78" s="11" t="s">
        <v>212</v>
      </c>
      <c r="E78" s="11" t="s">
        <v>492</v>
      </c>
      <c r="F78" s="54" t="s">
        <v>493</v>
      </c>
      <c r="G78" s="58" t="s">
        <v>514</v>
      </c>
      <c r="H78" s="55" t="s">
        <v>221</v>
      </c>
    </row>
    <row r="79" spans="1:8" x14ac:dyDescent="0.25">
      <c r="A79" s="79">
        <v>78</v>
      </c>
      <c r="B79" s="79" t="s">
        <v>89</v>
      </c>
      <c r="C79" s="11" t="s">
        <v>477</v>
      </c>
      <c r="D79" s="11" t="s">
        <v>214</v>
      </c>
      <c r="E79" s="11" t="s">
        <v>500</v>
      </c>
      <c r="F79" s="54" t="s">
        <v>501</v>
      </c>
      <c r="G79" s="58" t="s">
        <v>446</v>
      </c>
      <c r="H79" s="55" t="s">
        <v>221</v>
      </c>
    </row>
    <row r="80" spans="1:8" x14ac:dyDescent="0.25">
      <c r="A80" s="79">
        <v>79</v>
      </c>
      <c r="B80" s="79" t="s">
        <v>89</v>
      </c>
      <c r="C80" s="11" t="s">
        <v>521</v>
      </c>
      <c r="D80" s="11" t="s">
        <v>216</v>
      </c>
      <c r="E80" s="11" t="s">
        <v>588</v>
      </c>
      <c r="F80" s="54" t="s">
        <v>589</v>
      </c>
      <c r="G80" s="58" t="s">
        <v>222</v>
      </c>
      <c r="H80" s="55" t="s">
        <v>221</v>
      </c>
    </row>
    <row r="81" spans="1:8" x14ac:dyDescent="0.25">
      <c r="A81" s="79">
        <v>80</v>
      </c>
      <c r="B81" s="79" t="s">
        <v>89</v>
      </c>
      <c r="C81" s="11" t="s">
        <v>530</v>
      </c>
      <c r="D81" s="11" t="s">
        <v>212</v>
      </c>
      <c r="E81" s="11" t="s">
        <v>751</v>
      </c>
      <c r="F81" s="54" t="s">
        <v>601</v>
      </c>
      <c r="G81" s="58" t="s">
        <v>466</v>
      </c>
      <c r="H81" s="55" t="s">
        <v>221</v>
      </c>
    </row>
    <row r="82" spans="1:8" x14ac:dyDescent="0.25">
      <c r="A82" s="79">
        <v>81</v>
      </c>
      <c r="B82" s="79" t="s">
        <v>89</v>
      </c>
      <c r="C82" s="11" t="s">
        <v>534</v>
      </c>
      <c r="D82" s="11" t="s">
        <v>289</v>
      </c>
      <c r="E82" s="11" t="s">
        <v>604</v>
      </c>
      <c r="F82" s="54" t="s">
        <v>133</v>
      </c>
      <c r="G82" s="58" t="s">
        <v>708</v>
      </c>
      <c r="H82" s="55" t="s">
        <v>221</v>
      </c>
    </row>
    <row r="83" spans="1:8" x14ac:dyDescent="0.25">
      <c r="A83" s="79">
        <v>82</v>
      </c>
      <c r="B83" s="79" t="s">
        <v>89</v>
      </c>
      <c r="C83" s="11" t="s">
        <v>537</v>
      </c>
      <c r="D83" s="11" t="s">
        <v>429</v>
      </c>
      <c r="E83" s="11" t="s">
        <v>757</v>
      </c>
      <c r="F83" s="54" t="s">
        <v>608</v>
      </c>
      <c r="G83" s="58" t="s">
        <v>721</v>
      </c>
      <c r="H83" s="55" t="s">
        <v>221</v>
      </c>
    </row>
    <row r="84" spans="1:8" x14ac:dyDescent="0.25">
      <c r="A84" s="79">
        <v>83</v>
      </c>
      <c r="B84" s="79" t="s">
        <v>89</v>
      </c>
      <c r="C84" s="11" t="s">
        <v>543</v>
      </c>
      <c r="D84" s="11" t="s">
        <v>219</v>
      </c>
      <c r="E84" s="11" t="s">
        <v>538</v>
      </c>
      <c r="F84" s="54" t="s">
        <v>609</v>
      </c>
      <c r="G84" s="58" t="s">
        <v>444</v>
      </c>
      <c r="H84" s="55" t="s">
        <v>221</v>
      </c>
    </row>
    <row r="85" spans="1:8" x14ac:dyDescent="0.25">
      <c r="A85" s="79">
        <v>84</v>
      </c>
      <c r="B85" s="79" t="s">
        <v>89</v>
      </c>
      <c r="C85" s="11" t="s">
        <v>546</v>
      </c>
      <c r="D85" s="11" t="s">
        <v>216</v>
      </c>
      <c r="E85" s="11" t="s">
        <v>542</v>
      </c>
      <c r="F85" s="54" t="s">
        <v>611</v>
      </c>
      <c r="G85" s="58" t="s">
        <v>222</v>
      </c>
      <c r="H85" s="55" t="s">
        <v>221</v>
      </c>
    </row>
    <row r="86" spans="1:8" x14ac:dyDescent="0.25">
      <c r="A86" s="79">
        <v>85</v>
      </c>
      <c r="B86" s="79" t="s">
        <v>89</v>
      </c>
      <c r="C86" s="11" t="s">
        <v>547</v>
      </c>
      <c r="D86" s="11" t="s">
        <v>291</v>
      </c>
      <c r="E86" s="11" t="s">
        <v>612</v>
      </c>
      <c r="F86" s="54" t="s">
        <v>613</v>
      </c>
      <c r="G86" s="58" t="s">
        <v>107</v>
      </c>
      <c r="H86" s="55" t="s">
        <v>221</v>
      </c>
    </row>
    <row r="87" spans="1:8" x14ac:dyDescent="0.25">
      <c r="A87" s="79">
        <v>86</v>
      </c>
      <c r="B87" s="79" t="s">
        <v>89</v>
      </c>
      <c r="C87" s="11" t="s">
        <v>550</v>
      </c>
      <c r="D87" s="11" t="s">
        <v>291</v>
      </c>
      <c r="E87" s="11" t="s">
        <v>614</v>
      </c>
      <c r="F87" s="54" t="s">
        <v>136</v>
      </c>
      <c r="G87" s="58" t="s">
        <v>511</v>
      </c>
      <c r="H87" s="55" t="s">
        <v>221</v>
      </c>
    </row>
    <row r="88" spans="1:8" x14ac:dyDescent="0.25">
      <c r="A88" s="79">
        <v>87</v>
      </c>
      <c r="B88" s="79" t="s">
        <v>89</v>
      </c>
      <c r="C88" s="11" t="s">
        <v>552</v>
      </c>
      <c r="D88" s="11" t="s">
        <v>666</v>
      </c>
      <c r="E88" s="11" t="s">
        <v>758</v>
      </c>
      <c r="F88" s="54" t="s">
        <v>615</v>
      </c>
      <c r="G88" s="58" t="s">
        <v>729</v>
      </c>
      <c r="H88" s="55" t="s">
        <v>221</v>
      </c>
    </row>
    <row r="89" spans="1:8" x14ac:dyDescent="0.25">
      <c r="A89" s="79">
        <v>88</v>
      </c>
      <c r="B89" s="79" t="s">
        <v>89</v>
      </c>
      <c r="C89" s="11" t="s">
        <v>530</v>
      </c>
      <c r="D89" s="11" t="s">
        <v>212</v>
      </c>
      <c r="E89" s="11" t="s">
        <v>751</v>
      </c>
      <c r="F89" s="54" t="s">
        <v>616</v>
      </c>
      <c r="G89" s="58" t="s">
        <v>466</v>
      </c>
      <c r="H89" s="55" t="s">
        <v>221</v>
      </c>
    </row>
    <row r="90" spans="1:8" x14ac:dyDescent="0.25">
      <c r="A90" s="79">
        <v>89</v>
      </c>
      <c r="B90" s="79" t="s">
        <v>89</v>
      </c>
      <c r="C90" s="11" t="s">
        <v>554</v>
      </c>
      <c r="D90" s="11" t="s">
        <v>216</v>
      </c>
      <c r="E90" s="11" t="s">
        <v>759</v>
      </c>
      <c r="F90" s="54" t="s">
        <v>618</v>
      </c>
      <c r="G90" s="58" t="s">
        <v>222</v>
      </c>
      <c r="H90" s="55" t="s">
        <v>221</v>
      </c>
    </row>
    <row r="91" spans="1:8" x14ac:dyDescent="0.25">
      <c r="A91" s="79">
        <v>90</v>
      </c>
      <c r="B91" s="79" t="s">
        <v>89</v>
      </c>
      <c r="C91" s="11" t="s">
        <v>557</v>
      </c>
      <c r="D91" s="11" t="s">
        <v>212</v>
      </c>
      <c r="E91" s="11" t="s">
        <v>760</v>
      </c>
      <c r="F91" s="54" t="s">
        <v>619</v>
      </c>
      <c r="G91" s="58" t="s">
        <v>466</v>
      </c>
      <c r="H91" s="55" t="s">
        <v>221</v>
      </c>
    </row>
    <row r="92" spans="1:8" x14ac:dyDescent="0.25">
      <c r="A92" s="79">
        <v>91</v>
      </c>
      <c r="B92" s="79" t="s">
        <v>89</v>
      </c>
      <c r="C92" s="11" t="s">
        <v>559</v>
      </c>
      <c r="D92" s="11" t="s">
        <v>212</v>
      </c>
      <c r="E92" s="11" t="s">
        <v>622</v>
      </c>
      <c r="F92" s="54" t="s">
        <v>623</v>
      </c>
      <c r="G92" s="58" t="s">
        <v>466</v>
      </c>
      <c r="H92" s="55" t="s">
        <v>221</v>
      </c>
    </row>
    <row r="93" spans="1:8" x14ac:dyDescent="0.25">
      <c r="A93" s="79">
        <v>92</v>
      </c>
      <c r="B93" s="79" t="s">
        <v>89</v>
      </c>
      <c r="C93" s="11" t="s">
        <v>561</v>
      </c>
      <c r="D93" s="11" t="s">
        <v>214</v>
      </c>
      <c r="E93" s="11" t="s">
        <v>626</v>
      </c>
      <c r="F93" s="54" t="s">
        <v>627</v>
      </c>
      <c r="G93" s="58" t="s">
        <v>446</v>
      </c>
      <c r="H93" s="55" t="s">
        <v>221</v>
      </c>
    </row>
    <row r="94" spans="1:8" x14ac:dyDescent="0.25">
      <c r="A94" s="79">
        <v>93</v>
      </c>
      <c r="B94" s="79" t="s">
        <v>89</v>
      </c>
      <c r="C94" s="11" t="s">
        <v>563</v>
      </c>
      <c r="D94" s="11" t="s">
        <v>681</v>
      </c>
      <c r="E94" s="11" t="s">
        <v>632</v>
      </c>
      <c r="F94" s="54" t="s">
        <v>633</v>
      </c>
      <c r="G94" s="58" t="s">
        <v>558</v>
      </c>
      <c r="H94" s="55" t="s">
        <v>221</v>
      </c>
    </row>
    <row r="95" spans="1:8" x14ac:dyDescent="0.25">
      <c r="A95" s="79">
        <v>94</v>
      </c>
      <c r="B95" s="79" t="s">
        <v>89</v>
      </c>
      <c r="C95" s="11" t="s">
        <v>568</v>
      </c>
      <c r="D95" s="11" t="s">
        <v>288</v>
      </c>
      <c r="E95" s="11" t="s">
        <v>564</v>
      </c>
      <c r="F95" s="54" t="s">
        <v>635</v>
      </c>
      <c r="G95" s="58" t="s">
        <v>444</v>
      </c>
      <c r="H95" s="55" t="s">
        <v>221</v>
      </c>
    </row>
    <row r="96" spans="1:8" x14ac:dyDescent="0.25">
      <c r="A96" s="79">
        <v>95</v>
      </c>
      <c r="B96" s="79" t="s">
        <v>89</v>
      </c>
      <c r="C96" s="11" t="s">
        <v>570</v>
      </c>
      <c r="D96" s="11" t="s">
        <v>291</v>
      </c>
      <c r="E96" s="11" t="s">
        <v>761</v>
      </c>
      <c r="F96" s="54" t="s">
        <v>637</v>
      </c>
      <c r="G96" s="58" t="s">
        <v>107</v>
      </c>
      <c r="H96" s="55" t="s">
        <v>221</v>
      </c>
    </row>
    <row r="97" spans="1:8" x14ac:dyDescent="0.25">
      <c r="A97" s="79">
        <v>96</v>
      </c>
      <c r="B97" s="79" t="s">
        <v>89</v>
      </c>
      <c r="C97" s="11" t="s">
        <v>572</v>
      </c>
      <c r="D97" s="11" t="s">
        <v>291</v>
      </c>
      <c r="E97" s="11" t="s">
        <v>567</v>
      </c>
      <c r="F97" s="54" t="s">
        <v>639</v>
      </c>
      <c r="G97" s="58" t="s">
        <v>447</v>
      </c>
      <c r="H97" s="55" t="s">
        <v>221</v>
      </c>
    </row>
    <row r="98" spans="1:8" x14ac:dyDescent="0.25">
      <c r="A98" s="79">
        <v>97</v>
      </c>
      <c r="B98" s="79" t="s">
        <v>89</v>
      </c>
      <c r="C98" s="11" t="s">
        <v>300</v>
      </c>
      <c r="D98" s="11" t="s">
        <v>216</v>
      </c>
      <c r="E98" s="11" t="s">
        <v>294</v>
      </c>
      <c r="F98" s="54" t="s">
        <v>135</v>
      </c>
      <c r="G98" s="58" t="s">
        <v>222</v>
      </c>
      <c r="H98" s="55" t="s">
        <v>221</v>
      </c>
    </row>
    <row r="99" spans="1:8" x14ac:dyDescent="0.25">
      <c r="A99" s="79">
        <v>98</v>
      </c>
      <c r="B99" s="79" t="s">
        <v>89</v>
      </c>
      <c r="C99" s="11" t="s">
        <v>573</v>
      </c>
      <c r="D99" s="11" t="s">
        <v>288</v>
      </c>
      <c r="E99" s="11" t="s">
        <v>573</v>
      </c>
      <c r="F99" s="54" t="s">
        <v>640</v>
      </c>
      <c r="G99" s="58" t="s">
        <v>444</v>
      </c>
      <c r="H99" s="55" t="s">
        <v>221</v>
      </c>
    </row>
    <row r="100" spans="1:8" x14ac:dyDescent="0.25">
      <c r="A100" s="79">
        <v>99</v>
      </c>
      <c r="B100" s="79" t="s">
        <v>89</v>
      </c>
      <c r="C100" s="11" t="s">
        <v>574</v>
      </c>
      <c r="D100" s="11" t="s">
        <v>212</v>
      </c>
      <c r="E100" s="11" t="s">
        <v>762</v>
      </c>
      <c r="F100" s="54" t="s">
        <v>125</v>
      </c>
      <c r="G100" s="58" t="s">
        <v>466</v>
      </c>
      <c r="H100" s="55" t="s">
        <v>221</v>
      </c>
    </row>
    <row r="101" spans="1:8" x14ac:dyDescent="0.25">
      <c r="A101" s="79">
        <v>100</v>
      </c>
      <c r="B101" s="79" t="s">
        <v>89</v>
      </c>
      <c r="C101" s="11" t="s">
        <v>582</v>
      </c>
      <c r="D101" s="11" t="s">
        <v>210</v>
      </c>
      <c r="E101" s="11" t="s">
        <v>763</v>
      </c>
      <c r="F101" s="54" t="s">
        <v>651</v>
      </c>
      <c r="G101" s="58" t="s">
        <v>446</v>
      </c>
      <c r="H101" s="55" t="s">
        <v>221</v>
      </c>
    </row>
    <row r="102" spans="1:8" x14ac:dyDescent="0.25">
      <c r="A102" s="79">
        <v>101</v>
      </c>
      <c r="B102" s="79" t="s">
        <v>89</v>
      </c>
      <c r="C102" s="11" t="s">
        <v>579</v>
      </c>
      <c r="D102" s="11" t="s">
        <v>210</v>
      </c>
      <c r="E102" s="11" t="s">
        <v>652</v>
      </c>
      <c r="F102" s="54" t="s">
        <v>149</v>
      </c>
      <c r="G102" s="58" t="s">
        <v>446</v>
      </c>
      <c r="H102" s="55" t="s">
        <v>221</v>
      </c>
    </row>
    <row r="103" spans="1:8" x14ac:dyDescent="0.25">
      <c r="A103" s="79">
        <v>102</v>
      </c>
      <c r="B103" s="79" t="s">
        <v>89</v>
      </c>
      <c r="C103" s="11" t="s">
        <v>583</v>
      </c>
      <c r="D103" s="11" t="s">
        <v>412</v>
      </c>
      <c r="E103" s="11" t="s">
        <v>764</v>
      </c>
      <c r="F103" s="54" t="s">
        <v>655</v>
      </c>
      <c r="G103" s="58" t="s">
        <v>711</v>
      </c>
      <c r="H103" s="55" t="s">
        <v>221</v>
      </c>
    </row>
    <row r="104" spans="1:8" x14ac:dyDescent="0.25">
      <c r="A104" s="79">
        <v>103</v>
      </c>
      <c r="B104" s="79" t="s">
        <v>89</v>
      </c>
      <c r="C104" s="11" t="s">
        <v>819</v>
      </c>
      <c r="D104" s="11" t="s">
        <v>291</v>
      </c>
      <c r="E104" s="11" t="s">
        <v>740</v>
      </c>
      <c r="F104" s="54" t="s">
        <v>119</v>
      </c>
      <c r="G104" s="58" t="s">
        <v>688</v>
      </c>
      <c r="H104" s="55" t="s">
        <v>221</v>
      </c>
    </row>
    <row r="105" spans="1:8" ht="30" x14ac:dyDescent="0.25">
      <c r="A105" s="79">
        <v>104</v>
      </c>
      <c r="B105" s="79" t="s">
        <v>70</v>
      </c>
      <c r="C105" s="11" t="s">
        <v>54</v>
      </c>
      <c r="D105" s="11" t="s">
        <v>54</v>
      </c>
      <c r="E105" s="53" t="s">
        <v>114</v>
      </c>
      <c r="F105" s="54" t="s">
        <v>113</v>
      </c>
      <c r="G105" s="58" t="s">
        <v>686</v>
      </c>
      <c r="H105" s="55" t="s">
        <v>687</v>
      </c>
    </row>
    <row r="106" spans="1:8" x14ac:dyDescent="0.25">
      <c r="A106" s="79">
        <v>105</v>
      </c>
      <c r="B106" s="79" t="s">
        <v>70</v>
      </c>
      <c r="C106" s="11" t="s">
        <v>86</v>
      </c>
      <c r="D106" s="11" t="s">
        <v>86</v>
      </c>
      <c r="E106" s="11" t="s">
        <v>765</v>
      </c>
      <c r="F106" s="54" t="s">
        <v>113</v>
      </c>
      <c r="G106" s="58" t="s">
        <v>686</v>
      </c>
      <c r="H106" s="55" t="s">
        <v>687</v>
      </c>
    </row>
    <row r="107" spans="1:8" x14ac:dyDescent="0.25">
      <c r="A107" s="79">
        <v>106</v>
      </c>
      <c r="B107" s="79" t="s">
        <v>70</v>
      </c>
      <c r="C107" s="11" t="s">
        <v>28</v>
      </c>
      <c r="D107" s="11" t="s">
        <v>28</v>
      </c>
      <c r="E107" s="11" t="s">
        <v>115</v>
      </c>
      <c r="F107" s="54" t="s">
        <v>113</v>
      </c>
      <c r="G107" s="58" t="s">
        <v>686</v>
      </c>
      <c r="H107" s="55" t="s">
        <v>687</v>
      </c>
    </row>
    <row r="108" spans="1:8" x14ac:dyDescent="0.25">
      <c r="A108" s="79">
        <v>107</v>
      </c>
      <c r="B108" s="79" t="s">
        <v>70</v>
      </c>
      <c r="C108" s="11" t="s">
        <v>87</v>
      </c>
      <c r="D108" s="11" t="s">
        <v>87</v>
      </c>
      <c r="E108" s="11" t="s">
        <v>116</v>
      </c>
      <c r="F108" s="54" t="s">
        <v>113</v>
      </c>
      <c r="G108" s="58" t="s">
        <v>686</v>
      </c>
      <c r="H108" s="55" t="s">
        <v>687</v>
      </c>
    </row>
    <row r="109" spans="1:8" x14ac:dyDescent="0.25">
      <c r="A109" s="79">
        <v>108</v>
      </c>
      <c r="B109" s="79" t="s">
        <v>70</v>
      </c>
      <c r="C109" s="11" t="s">
        <v>94</v>
      </c>
      <c r="D109" s="11" t="s">
        <v>94</v>
      </c>
      <c r="E109" s="11" t="s">
        <v>766</v>
      </c>
      <c r="F109" s="54" t="s">
        <v>113</v>
      </c>
      <c r="G109" s="58" t="s">
        <v>686</v>
      </c>
      <c r="H109" s="55" t="s">
        <v>687</v>
      </c>
    </row>
    <row r="110" spans="1:8" x14ac:dyDescent="0.25">
      <c r="A110" s="79">
        <v>109</v>
      </c>
      <c r="B110" s="79" t="s">
        <v>70</v>
      </c>
      <c r="C110" s="11" t="s">
        <v>93</v>
      </c>
      <c r="D110" s="11" t="s">
        <v>93</v>
      </c>
      <c r="E110" s="11" t="s">
        <v>117</v>
      </c>
      <c r="F110" s="54" t="s">
        <v>113</v>
      </c>
      <c r="G110" s="58" t="s">
        <v>686</v>
      </c>
      <c r="H110" s="55" t="s">
        <v>687</v>
      </c>
    </row>
    <row r="111" spans="1:8" x14ac:dyDescent="0.25">
      <c r="A111" s="79">
        <v>110</v>
      </c>
      <c r="B111" s="79" t="s">
        <v>70</v>
      </c>
      <c r="C111" s="11" t="s">
        <v>239</v>
      </c>
      <c r="D111" s="11" t="s">
        <v>134</v>
      </c>
      <c r="E111" s="11" t="s">
        <v>239</v>
      </c>
      <c r="F111" s="54" t="s">
        <v>126</v>
      </c>
      <c r="G111" s="58" t="s">
        <v>701</v>
      </c>
      <c r="H111" s="55" t="s">
        <v>687</v>
      </c>
    </row>
    <row r="112" spans="1:8" x14ac:dyDescent="0.25">
      <c r="A112" s="79">
        <v>111</v>
      </c>
      <c r="B112" s="79" t="s">
        <v>70</v>
      </c>
      <c r="C112" s="11" t="s">
        <v>285</v>
      </c>
      <c r="D112" s="11" t="s">
        <v>306</v>
      </c>
      <c r="E112" s="11" t="s">
        <v>265</v>
      </c>
      <c r="F112" s="54" t="s">
        <v>266</v>
      </c>
      <c r="G112" s="58" t="s">
        <v>706</v>
      </c>
      <c r="H112" s="55" t="s">
        <v>687</v>
      </c>
    </row>
    <row r="113" spans="1:8" x14ac:dyDescent="0.25">
      <c r="A113" s="79">
        <v>112</v>
      </c>
      <c r="B113" s="79" t="s">
        <v>70</v>
      </c>
      <c r="C113" s="11" t="s">
        <v>441</v>
      </c>
      <c r="D113" s="11" t="s">
        <v>436</v>
      </c>
      <c r="E113" s="11" t="s">
        <v>352</v>
      </c>
      <c r="F113" s="54" t="s">
        <v>353</v>
      </c>
      <c r="G113" s="58" t="s">
        <v>719</v>
      </c>
      <c r="H113" s="55" t="s">
        <v>687</v>
      </c>
    </row>
    <row r="114" spans="1:8" x14ac:dyDescent="0.25">
      <c r="A114" s="79">
        <v>113</v>
      </c>
      <c r="B114" s="79" t="s">
        <v>70</v>
      </c>
      <c r="C114" s="11" t="s">
        <v>421</v>
      </c>
      <c r="D114" s="11" t="s">
        <v>416</v>
      </c>
      <c r="E114" s="11" t="s">
        <v>767</v>
      </c>
      <c r="F114" s="54" t="s">
        <v>145</v>
      </c>
      <c r="G114" s="58" t="s">
        <v>723</v>
      </c>
      <c r="H114" s="55" t="s">
        <v>687</v>
      </c>
    </row>
    <row r="115" spans="1:8" x14ac:dyDescent="0.25">
      <c r="A115" s="79">
        <v>114</v>
      </c>
      <c r="B115" s="79" t="s">
        <v>70</v>
      </c>
      <c r="C115" s="11" t="s">
        <v>452</v>
      </c>
      <c r="D115" s="11" t="s">
        <v>461</v>
      </c>
      <c r="E115" s="11" t="s">
        <v>387</v>
      </c>
      <c r="F115" s="54" t="s">
        <v>388</v>
      </c>
      <c r="G115" s="58" t="s">
        <v>724</v>
      </c>
      <c r="H115" s="55" t="s">
        <v>687</v>
      </c>
    </row>
    <row r="116" spans="1:8" x14ac:dyDescent="0.25">
      <c r="A116" s="79">
        <v>115</v>
      </c>
      <c r="B116" s="79" t="s">
        <v>70</v>
      </c>
      <c r="C116" s="11" t="s">
        <v>531</v>
      </c>
      <c r="D116" s="11" t="s">
        <v>665</v>
      </c>
      <c r="E116" s="11" t="s">
        <v>768</v>
      </c>
      <c r="F116" s="54" t="s">
        <v>599</v>
      </c>
      <c r="G116" s="58" t="s">
        <v>664</v>
      </c>
      <c r="H116" s="55" t="s">
        <v>687</v>
      </c>
    </row>
    <row r="117" spans="1:8" x14ac:dyDescent="0.25">
      <c r="A117" s="79">
        <v>116</v>
      </c>
      <c r="B117" s="79" t="s">
        <v>70</v>
      </c>
      <c r="C117" s="11" t="s">
        <v>544</v>
      </c>
      <c r="D117" s="11" t="s">
        <v>667</v>
      </c>
      <c r="E117" s="11" t="s">
        <v>540</v>
      </c>
      <c r="F117" s="54" t="s">
        <v>610</v>
      </c>
      <c r="G117" s="58" t="s">
        <v>728</v>
      </c>
      <c r="H117" s="55" t="s">
        <v>687</v>
      </c>
    </row>
    <row r="118" spans="1:8" x14ac:dyDescent="0.25">
      <c r="A118" s="79">
        <v>117</v>
      </c>
      <c r="B118" s="79" t="s">
        <v>70</v>
      </c>
      <c r="C118" s="11" t="s">
        <v>560</v>
      </c>
      <c r="D118" s="11" t="s">
        <v>683</v>
      </c>
      <c r="E118" s="11" t="s">
        <v>624</v>
      </c>
      <c r="F118" s="54" t="s">
        <v>625</v>
      </c>
      <c r="G118" s="58" t="s">
        <v>671</v>
      </c>
      <c r="H118" s="55" t="s">
        <v>687</v>
      </c>
    </row>
    <row r="119" spans="1:8" x14ac:dyDescent="0.25">
      <c r="A119" s="79">
        <v>118</v>
      </c>
      <c r="B119" s="79" t="s">
        <v>70</v>
      </c>
      <c r="C119" s="11" t="s">
        <v>575</v>
      </c>
      <c r="D119" s="11" t="s">
        <v>684</v>
      </c>
      <c r="E119" s="11" t="s">
        <v>641</v>
      </c>
      <c r="F119" s="54" t="s">
        <v>642</v>
      </c>
      <c r="G119" s="58" t="s">
        <v>675</v>
      </c>
      <c r="H119" s="55" t="s">
        <v>687</v>
      </c>
    </row>
    <row r="120" spans="1:8" x14ac:dyDescent="0.25">
      <c r="A120" s="79">
        <v>119</v>
      </c>
      <c r="B120" s="79" t="s">
        <v>70</v>
      </c>
      <c r="C120" s="11" t="s">
        <v>580</v>
      </c>
      <c r="D120" s="11" t="s">
        <v>682</v>
      </c>
      <c r="E120" s="11" t="s">
        <v>653</v>
      </c>
      <c r="F120" s="54" t="s">
        <v>654</v>
      </c>
      <c r="G120" s="58" t="s">
        <v>679</v>
      </c>
      <c r="H120" s="55" t="s">
        <v>687</v>
      </c>
    </row>
    <row r="121" spans="1:8" x14ac:dyDescent="0.25">
      <c r="A121" s="79">
        <v>120</v>
      </c>
      <c r="B121" s="79" t="s">
        <v>88</v>
      </c>
      <c r="C121" s="11" t="s">
        <v>147</v>
      </c>
      <c r="D121" s="11" t="s">
        <v>213</v>
      </c>
      <c r="E121" s="11" t="s">
        <v>146</v>
      </c>
      <c r="F121" s="54" t="s">
        <v>132</v>
      </c>
      <c r="G121" s="58" t="s">
        <v>690</v>
      </c>
      <c r="H121" s="55" t="s">
        <v>691</v>
      </c>
    </row>
    <row r="122" spans="1:8" x14ac:dyDescent="0.25">
      <c r="A122" s="79">
        <v>121</v>
      </c>
      <c r="B122" s="79" t="s">
        <v>88</v>
      </c>
      <c r="C122" s="11" t="s">
        <v>154</v>
      </c>
      <c r="D122" s="11" t="s">
        <v>211</v>
      </c>
      <c r="E122" s="11" t="s">
        <v>769</v>
      </c>
      <c r="F122" s="54" t="s">
        <v>153</v>
      </c>
      <c r="G122" s="58" t="s">
        <v>692</v>
      </c>
      <c r="H122" s="55" t="s">
        <v>693</v>
      </c>
    </row>
    <row r="123" spans="1:8" x14ac:dyDescent="0.25">
      <c r="A123" s="79">
        <v>122</v>
      </c>
      <c r="B123" s="79" t="s">
        <v>88</v>
      </c>
      <c r="C123" s="11" t="s">
        <v>155</v>
      </c>
      <c r="D123" s="11" t="s">
        <v>218</v>
      </c>
      <c r="E123" s="11" t="s">
        <v>770</v>
      </c>
      <c r="F123" s="54" t="s">
        <v>156</v>
      </c>
      <c r="G123" s="58" t="s">
        <v>694</v>
      </c>
      <c r="H123" s="55" t="s">
        <v>220</v>
      </c>
    </row>
    <row r="124" spans="1:8" x14ac:dyDescent="0.25">
      <c r="A124" s="79">
        <v>123</v>
      </c>
      <c r="B124" s="79" t="s">
        <v>88</v>
      </c>
      <c r="C124" s="11" t="s">
        <v>168</v>
      </c>
      <c r="D124" s="11" t="s">
        <v>209</v>
      </c>
      <c r="E124" s="11" t="s">
        <v>166</v>
      </c>
      <c r="F124" s="54" t="s">
        <v>167</v>
      </c>
      <c r="G124" s="58" t="s">
        <v>695</v>
      </c>
      <c r="H124" s="55" t="s">
        <v>220</v>
      </c>
    </row>
    <row r="125" spans="1:8" x14ac:dyDescent="0.25">
      <c r="A125" s="79">
        <v>124</v>
      </c>
      <c r="B125" s="79" t="s">
        <v>88</v>
      </c>
      <c r="C125" s="11" t="s">
        <v>203</v>
      </c>
      <c r="D125" s="11" t="s">
        <v>437</v>
      </c>
      <c r="E125" s="11" t="s">
        <v>771</v>
      </c>
      <c r="F125" s="54" t="s">
        <v>202</v>
      </c>
      <c r="G125" s="58" t="s">
        <v>668</v>
      </c>
      <c r="H125" s="55" t="s">
        <v>471</v>
      </c>
    </row>
    <row r="126" spans="1:8" x14ac:dyDescent="0.25">
      <c r="A126" s="79">
        <v>125</v>
      </c>
      <c r="B126" s="79" t="s">
        <v>88</v>
      </c>
      <c r="C126" s="11" t="s">
        <v>228</v>
      </c>
      <c r="D126" s="11" t="s">
        <v>733</v>
      </c>
      <c r="E126" s="11" t="s">
        <v>772</v>
      </c>
      <c r="F126" s="54" t="s">
        <v>139</v>
      </c>
      <c r="G126" s="58" t="s">
        <v>697</v>
      </c>
      <c r="H126" s="55" t="s">
        <v>220</v>
      </c>
    </row>
    <row r="127" spans="1:8" x14ac:dyDescent="0.25">
      <c r="A127" s="79">
        <v>126</v>
      </c>
      <c r="B127" s="79" t="s">
        <v>88</v>
      </c>
      <c r="C127" s="11" t="s">
        <v>231</v>
      </c>
      <c r="D127" s="11" t="s">
        <v>734</v>
      </c>
      <c r="E127" s="11" t="s">
        <v>230</v>
      </c>
      <c r="F127" s="54" t="s">
        <v>128</v>
      </c>
      <c r="G127" s="58" t="s">
        <v>698</v>
      </c>
      <c r="H127" s="55" t="s">
        <v>471</v>
      </c>
    </row>
    <row r="128" spans="1:8" x14ac:dyDescent="0.25">
      <c r="A128" s="79">
        <v>127</v>
      </c>
      <c r="B128" s="79" t="s">
        <v>88</v>
      </c>
      <c r="C128" s="11" t="s">
        <v>232</v>
      </c>
      <c r="D128" s="11" t="s">
        <v>243</v>
      </c>
      <c r="E128" s="11" t="s">
        <v>144</v>
      </c>
      <c r="F128" s="54" t="s">
        <v>122</v>
      </c>
      <c r="G128" s="58" t="s">
        <v>699</v>
      </c>
      <c r="H128" s="55" t="s">
        <v>700</v>
      </c>
    </row>
    <row r="129" spans="1:8" x14ac:dyDescent="0.25">
      <c r="A129" s="79">
        <v>128</v>
      </c>
      <c r="B129" s="79" t="s">
        <v>88</v>
      </c>
      <c r="C129" s="11" t="s">
        <v>240</v>
      </c>
      <c r="D129" s="11" t="s">
        <v>243</v>
      </c>
      <c r="E129" s="11" t="s">
        <v>773</v>
      </c>
      <c r="F129" s="54" t="s">
        <v>140</v>
      </c>
      <c r="G129" s="58" t="s">
        <v>512</v>
      </c>
      <c r="H129" s="55" t="s">
        <v>700</v>
      </c>
    </row>
    <row r="130" spans="1:8" x14ac:dyDescent="0.25">
      <c r="A130" s="79">
        <v>129</v>
      </c>
      <c r="B130" s="79" t="s">
        <v>88</v>
      </c>
      <c r="C130" s="11" t="s">
        <v>168</v>
      </c>
      <c r="D130" s="11" t="s">
        <v>209</v>
      </c>
      <c r="E130" s="11" t="s">
        <v>166</v>
      </c>
      <c r="F130" s="54" t="s">
        <v>246</v>
      </c>
      <c r="G130" s="58" t="s">
        <v>695</v>
      </c>
      <c r="H130" s="55" t="s">
        <v>220</v>
      </c>
    </row>
    <row r="131" spans="1:8" x14ac:dyDescent="0.25">
      <c r="A131" s="79">
        <v>130</v>
      </c>
      <c r="B131" s="79" t="s">
        <v>88</v>
      </c>
      <c r="C131" s="11" t="s">
        <v>290</v>
      </c>
      <c r="D131" s="11" t="s">
        <v>213</v>
      </c>
      <c r="E131" s="11" t="s">
        <v>247</v>
      </c>
      <c r="F131" s="54" t="s">
        <v>123</v>
      </c>
      <c r="G131" s="58" t="s">
        <v>690</v>
      </c>
      <c r="H131" s="55" t="s">
        <v>691</v>
      </c>
    </row>
    <row r="132" spans="1:8" x14ac:dyDescent="0.25">
      <c r="A132" s="79">
        <v>131</v>
      </c>
      <c r="B132" s="79" t="s">
        <v>88</v>
      </c>
      <c r="C132" s="11" t="s">
        <v>296</v>
      </c>
      <c r="D132" s="11" t="s">
        <v>292</v>
      </c>
      <c r="E132" s="11" t="s">
        <v>251</v>
      </c>
      <c r="F132" s="54" t="s">
        <v>252</v>
      </c>
      <c r="G132" s="58" t="s">
        <v>702</v>
      </c>
      <c r="H132" s="55" t="s">
        <v>471</v>
      </c>
    </row>
    <row r="133" spans="1:8" x14ac:dyDescent="0.25">
      <c r="A133" s="79">
        <v>132</v>
      </c>
      <c r="B133" s="79" t="s">
        <v>88</v>
      </c>
      <c r="C133" s="11" t="s">
        <v>282</v>
      </c>
      <c r="D133" s="11" t="s">
        <v>213</v>
      </c>
      <c r="E133" s="11" t="s">
        <v>257</v>
      </c>
      <c r="F133" s="54" t="s">
        <v>258</v>
      </c>
      <c r="G133" s="58" t="s">
        <v>518</v>
      </c>
      <c r="H133" s="55" t="s">
        <v>691</v>
      </c>
    </row>
    <row r="134" spans="1:8" x14ac:dyDescent="0.25">
      <c r="A134" s="79">
        <v>133</v>
      </c>
      <c r="B134" s="79" t="s">
        <v>88</v>
      </c>
      <c r="C134" s="11" t="s">
        <v>302</v>
      </c>
      <c r="D134" s="11" t="s">
        <v>301</v>
      </c>
      <c r="E134" s="11" t="s">
        <v>774</v>
      </c>
      <c r="F134" s="54" t="s">
        <v>259</v>
      </c>
      <c r="G134" s="58" t="s">
        <v>704</v>
      </c>
      <c r="H134" s="55" t="s">
        <v>471</v>
      </c>
    </row>
    <row r="135" spans="1:8" x14ac:dyDescent="0.25">
      <c r="A135" s="79">
        <v>134</v>
      </c>
      <c r="B135" s="79" t="s">
        <v>88</v>
      </c>
      <c r="C135" s="11" t="s">
        <v>303</v>
      </c>
      <c r="D135" s="11" t="s">
        <v>292</v>
      </c>
      <c r="E135" s="11" t="s">
        <v>260</v>
      </c>
      <c r="F135" s="54" t="s">
        <v>261</v>
      </c>
      <c r="G135" s="58" t="s">
        <v>445</v>
      </c>
      <c r="H135" s="55" t="s">
        <v>471</v>
      </c>
    </row>
    <row r="136" spans="1:8" x14ac:dyDescent="0.25">
      <c r="A136" s="79">
        <v>135</v>
      </c>
      <c r="B136" s="79" t="s">
        <v>88</v>
      </c>
      <c r="C136" s="11" t="s">
        <v>283</v>
      </c>
      <c r="D136" s="11" t="s">
        <v>305</v>
      </c>
      <c r="E136" s="11" t="s">
        <v>775</v>
      </c>
      <c r="F136" s="54" t="s">
        <v>262</v>
      </c>
      <c r="G136" s="58" t="s">
        <v>705</v>
      </c>
      <c r="H136" s="55" t="s">
        <v>471</v>
      </c>
    </row>
    <row r="137" spans="1:8" x14ac:dyDescent="0.25">
      <c r="A137" s="79">
        <v>136</v>
      </c>
      <c r="B137" s="79" t="s">
        <v>88</v>
      </c>
      <c r="C137" s="11" t="s">
        <v>307</v>
      </c>
      <c r="D137" s="11" t="s">
        <v>207</v>
      </c>
      <c r="E137" s="11" t="s">
        <v>776</v>
      </c>
      <c r="F137" s="54" t="s">
        <v>267</v>
      </c>
      <c r="G137" s="58" t="s">
        <v>707</v>
      </c>
      <c r="H137" s="55" t="s">
        <v>691</v>
      </c>
    </row>
    <row r="138" spans="1:8" x14ac:dyDescent="0.25">
      <c r="A138" s="79">
        <v>137</v>
      </c>
      <c r="B138" s="79" t="s">
        <v>88</v>
      </c>
      <c r="C138" s="11" t="s">
        <v>298</v>
      </c>
      <c r="D138" s="11" t="s">
        <v>292</v>
      </c>
      <c r="E138" s="11" t="s">
        <v>268</v>
      </c>
      <c r="F138" s="54" t="s">
        <v>124</v>
      </c>
      <c r="G138" s="58" t="s">
        <v>702</v>
      </c>
      <c r="H138" s="55" t="s">
        <v>471</v>
      </c>
    </row>
    <row r="139" spans="1:8" x14ac:dyDescent="0.25">
      <c r="A139" s="79">
        <v>138</v>
      </c>
      <c r="B139" s="79" t="s">
        <v>88</v>
      </c>
      <c r="C139" s="11" t="s">
        <v>271</v>
      </c>
      <c r="D139" s="11" t="s">
        <v>243</v>
      </c>
      <c r="E139" s="11" t="s">
        <v>293</v>
      </c>
      <c r="F139" s="54" t="s">
        <v>272</v>
      </c>
      <c r="G139" s="58" t="s">
        <v>512</v>
      </c>
      <c r="H139" s="55" t="s">
        <v>700</v>
      </c>
    </row>
    <row r="140" spans="1:8" x14ac:dyDescent="0.25">
      <c r="A140" s="79">
        <v>139</v>
      </c>
      <c r="B140" s="79" t="s">
        <v>88</v>
      </c>
      <c r="C140" s="11" t="s">
        <v>401</v>
      </c>
      <c r="D140" s="11" t="s">
        <v>292</v>
      </c>
      <c r="E140" s="11" t="s">
        <v>319</v>
      </c>
      <c r="F140" s="54" t="s">
        <v>320</v>
      </c>
      <c r="G140" s="58" t="s">
        <v>702</v>
      </c>
      <c r="H140" s="55" t="s">
        <v>471</v>
      </c>
    </row>
    <row r="141" spans="1:8" x14ac:dyDescent="0.25">
      <c r="A141" s="79">
        <v>140</v>
      </c>
      <c r="B141" s="79" t="s">
        <v>88</v>
      </c>
      <c r="C141" s="11" t="s">
        <v>408</v>
      </c>
      <c r="D141" s="11" t="s">
        <v>243</v>
      </c>
      <c r="E141" s="11" t="s">
        <v>324</v>
      </c>
      <c r="F141" s="54" t="s">
        <v>325</v>
      </c>
      <c r="G141" s="58" t="s">
        <v>710</v>
      </c>
      <c r="H141" s="55" t="s">
        <v>700</v>
      </c>
    </row>
    <row r="142" spans="1:8" x14ac:dyDescent="0.25">
      <c r="A142" s="79">
        <v>141</v>
      </c>
      <c r="B142" s="79" t="s">
        <v>88</v>
      </c>
      <c r="C142" s="11" t="s">
        <v>417</v>
      </c>
      <c r="D142" s="11" t="s">
        <v>400</v>
      </c>
      <c r="E142" s="11" t="s">
        <v>777</v>
      </c>
      <c r="F142" s="54" t="s">
        <v>330</v>
      </c>
      <c r="G142" s="58" t="s">
        <v>435</v>
      </c>
      <c r="H142" s="55" t="s">
        <v>471</v>
      </c>
    </row>
    <row r="143" spans="1:8" x14ac:dyDescent="0.25">
      <c r="A143" s="79">
        <v>142</v>
      </c>
      <c r="B143" s="79" t="s">
        <v>88</v>
      </c>
      <c r="C143" s="11" t="s">
        <v>410</v>
      </c>
      <c r="D143" s="11" t="s">
        <v>292</v>
      </c>
      <c r="E143" s="11" t="s">
        <v>342</v>
      </c>
      <c r="F143" s="54" t="s">
        <v>343</v>
      </c>
      <c r="G143" s="58" t="s">
        <v>716</v>
      </c>
      <c r="H143" s="55" t="s">
        <v>471</v>
      </c>
    </row>
    <row r="144" spans="1:8" x14ac:dyDescent="0.25">
      <c r="A144" s="79">
        <v>143</v>
      </c>
      <c r="B144" s="79" t="s">
        <v>88</v>
      </c>
      <c r="C144" s="11" t="s">
        <v>405</v>
      </c>
      <c r="D144" s="11" t="s">
        <v>292</v>
      </c>
      <c r="E144" s="11" t="s">
        <v>344</v>
      </c>
      <c r="F144" s="54" t="s">
        <v>345</v>
      </c>
      <c r="G144" s="58" t="s">
        <v>445</v>
      </c>
      <c r="H144" s="55" t="s">
        <v>471</v>
      </c>
    </row>
    <row r="145" spans="1:8" x14ac:dyDescent="0.25">
      <c r="A145" s="79">
        <v>144</v>
      </c>
      <c r="B145" s="79" t="s">
        <v>88</v>
      </c>
      <c r="C145" s="11" t="s">
        <v>420</v>
      </c>
      <c r="D145" s="11" t="s">
        <v>438</v>
      </c>
      <c r="E145" s="11" t="s">
        <v>374</v>
      </c>
      <c r="F145" s="54" t="s">
        <v>348</v>
      </c>
      <c r="G145" s="58" t="s">
        <v>690</v>
      </c>
      <c r="H145" s="55" t="s">
        <v>691</v>
      </c>
    </row>
    <row r="146" spans="1:8" x14ac:dyDescent="0.25">
      <c r="A146" s="79">
        <v>145</v>
      </c>
      <c r="B146" s="79" t="s">
        <v>88</v>
      </c>
      <c r="C146" s="11" t="s">
        <v>406</v>
      </c>
      <c r="D146" s="11" t="s">
        <v>243</v>
      </c>
      <c r="E146" s="11" t="s">
        <v>349</v>
      </c>
      <c r="F146" s="54" t="s">
        <v>350</v>
      </c>
      <c r="G146" s="58" t="s">
        <v>718</v>
      </c>
      <c r="H146" s="55" t="s">
        <v>700</v>
      </c>
    </row>
    <row r="147" spans="1:8" x14ac:dyDescent="0.25">
      <c r="A147" s="79">
        <v>146</v>
      </c>
      <c r="B147" s="79" t="s">
        <v>88</v>
      </c>
      <c r="C147" s="11" t="s">
        <v>418</v>
      </c>
      <c r="D147" s="11" t="s">
        <v>213</v>
      </c>
      <c r="E147" s="11" t="s">
        <v>778</v>
      </c>
      <c r="F147" s="54" t="s">
        <v>354</v>
      </c>
      <c r="G147" s="58" t="s">
        <v>720</v>
      </c>
      <c r="H147" s="55" t="s">
        <v>691</v>
      </c>
    </row>
    <row r="148" spans="1:8" x14ac:dyDescent="0.25">
      <c r="A148" s="79">
        <v>147</v>
      </c>
      <c r="B148" s="79" t="s">
        <v>88</v>
      </c>
      <c r="C148" s="11" t="s">
        <v>432</v>
      </c>
      <c r="D148" s="11" t="s">
        <v>243</v>
      </c>
      <c r="E148" s="11" t="s">
        <v>357</v>
      </c>
      <c r="F148" s="54" t="s">
        <v>358</v>
      </c>
      <c r="G148" s="58" t="s">
        <v>672</v>
      </c>
      <c r="H148" s="55" t="s">
        <v>700</v>
      </c>
    </row>
    <row r="149" spans="1:8" x14ac:dyDescent="0.25">
      <c r="A149" s="79">
        <v>148</v>
      </c>
      <c r="B149" s="79" t="s">
        <v>88</v>
      </c>
      <c r="C149" s="11" t="s">
        <v>442</v>
      </c>
      <c r="D149" s="11" t="s">
        <v>437</v>
      </c>
      <c r="E149" s="11" t="s">
        <v>779</v>
      </c>
      <c r="F149" s="54" t="s">
        <v>363</v>
      </c>
      <c r="G149" s="58" t="s">
        <v>668</v>
      </c>
      <c r="H149" s="55" t="s">
        <v>471</v>
      </c>
    </row>
    <row r="150" spans="1:8" x14ac:dyDescent="0.25">
      <c r="A150" s="79">
        <v>149</v>
      </c>
      <c r="B150" s="79" t="s">
        <v>88</v>
      </c>
      <c r="C150" s="11" t="s">
        <v>433</v>
      </c>
      <c r="D150" s="11" t="s">
        <v>243</v>
      </c>
      <c r="E150" s="11" t="s">
        <v>780</v>
      </c>
      <c r="F150" s="54" t="s">
        <v>364</v>
      </c>
      <c r="G150" s="58" t="s">
        <v>722</v>
      </c>
      <c r="H150" s="55" t="s">
        <v>700</v>
      </c>
    </row>
    <row r="151" spans="1:8" x14ac:dyDescent="0.25">
      <c r="A151" s="79">
        <v>150</v>
      </c>
      <c r="B151" s="79" t="s">
        <v>88</v>
      </c>
      <c r="C151" s="11" t="s">
        <v>453</v>
      </c>
      <c r="D151" s="11" t="s">
        <v>301</v>
      </c>
      <c r="E151" s="11" t="s">
        <v>368</v>
      </c>
      <c r="F151" s="54" t="s">
        <v>369</v>
      </c>
      <c r="G151" s="58" t="s">
        <v>445</v>
      </c>
      <c r="H151" s="55" t="s">
        <v>471</v>
      </c>
    </row>
    <row r="152" spans="1:8" x14ac:dyDescent="0.25">
      <c r="A152" s="79">
        <v>151</v>
      </c>
      <c r="B152" s="79" t="s">
        <v>88</v>
      </c>
      <c r="C152" s="11" t="s">
        <v>459</v>
      </c>
      <c r="D152" s="11" t="s">
        <v>243</v>
      </c>
      <c r="E152" s="11" t="s">
        <v>781</v>
      </c>
      <c r="F152" s="54" t="s">
        <v>375</v>
      </c>
      <c r="G152" s="58" t="s">
        <v>451</v>
      </c>
      <c r="H152" s="55" t="s">
        <v>700</v>
      </c>
    </row>
    <row r="153" spans="1:8" x14ac:dyDescent="0.25">
      <c r="A153" s="79">
        <v>152</v>
      </c>
      <c r="B153" s="79" t="s">
        <v>88</v>
      </c>
      <c r="C153" s="11" t="s">
        <v>455</v>
      </c>
      <c r="D153" s="11" t="s">
        <v>437</v>
      </c>
      <c r="E153" s="11" t="s">
        <v>376</v>
      </c>
      <c r="F153" s="54" t="s">
        <v>127</v>
      </c>
      <c r="G153" s="58" t="s">
        <v>668</v>
      </c>
      <c r="H153" s="55" t="s">
        <v>471</v>
      </c>
    </row>
    <row r="154" spans="1:8" x14ac:dyDescent="0.25">
      <c r="A154" s="79">
        <v>153</v>
      </c>
      <c r="B154" s="79" t="s">
        <v>88</v>
      </c>
      <c r="C154" s="11" t="s">
        <v>468</v>
      </c>
      <c r="D154" s="11" t="s">
        <v>292</v>
      </c>
      <c r="E154" s="11" t="s">
        <v>394</v>
      </c>
      <c r="F154" s="54" t="s">
        <v>395</v>
      </c>
      <c r="G154" s="58" t="s">
        <v>445</v>
      </c>
      <c r="H154" s="55" t="s">
        <v>471</v>
      </c>
    </row>
    <row r="155" spans="1:8" x14ac:dyDescent="0.25">
      <c r="A155" s="79">
        <v>154</v>
      </c>
      <c r="B155" s="79" t="s">
        <v>88</v>
      </c>
      <c r="C155" s="11" t="s">
        <v>473</v>
      </c>
      <c r="D155" s="11" t="s">
        <v>504</v>
      </c>
      <c r="E155" s="11" t="s">
        <v>782</v>
      </c>
      <c r="F155" s="54" t="s">
        <v>478</v>
      </c>
      <c r="G155" s="58" t="s">
        <v>471</v>
      </c>
      <c r="H155" s="55" t="s">
        <v>471</v>
      </c>
    </row>
    <row r="156" spans="1:8" x14ac:dyDescent="0.25">
      <c r="A156" s="79">
        <v>155</v>
      </c>
      <c r="B156" s="79" t="s">
        <v>88</v>
      </c>
      <c r="C156" s="11" t="s">
        <v>507</v>
      </c>
      <c r="D156" s="11" t="s">
        <v>243</v>
      </c>
      <c r="E156" s="11" t="s">
        <v>494</v>
      </c>
      <c r="F156" s="54" t="s">
        <v>495</v>
      </c>
      <c r="G156" s="58" t="s">
        <v>515</v>
      </c>
      <c r="H156" s="55" t="s">
        <v>700</v>
      </c>
    </row>
    <row r="157" spans="1:8" x14ac:dyDescent="0.25">
      <c r="A157" s="79">
        <v>156</v>
      </c>
      <c r="B157" s="79" t="s">
        <v>88</v>
      </c>
      <c r="C157" s="11" t="s">
        <v>519</v>
      </c>
      <c r="D157" s="11" t="s">
        <v>505</v>
      </c>
      <c r="E157" s="11" t="s">
        <v>496</v>
      </c>
      <c r="F157" s="54" t="s">
        <v>497</v>
      </c>
      <c r="G157" s="58" t="s">
        <v>516</v>
      </c>
      <c r="H157" s="55" t="s">
        <v>691</v>
      </c>
    </row>
    <row r="158" spans="1:8" x14ac:dyDescent="0.25">
      <c r="A158" s="79">
        <v>157</v>
      </c>
      <c r="B158" s="79" t="s">
        <v>88</v>
      </c>
      <c r="C158" s="11" t="s">
        <v>510</v>
      </c>
      <c r="D158" s="11" t="s">
        <v>243</v>
      </c>
      <c r="E158" s="11" t="s">
        <v>498</v>
      </c>
      <c r="F158" s="54" t="s">
        <v>499</v>
      </c>
      <c r="G158" s="58" t="s">
        <v>512</v>
      </c>
      <c r="H158" s="55" t="s">
        <v>700</v>
      </c>
    </row>
    <row r="159" spans="1:8" x14ac:dyDescent="0.25">
      <c r="A159" s="79">
        <v>158</v>
      </c>
      <c r="B159" s="79" t="s">
        <v>88</v>
      </c>
      <c r="C159" s="11" t="s">
        <v>508</v>
      </c>
      <c r="D159" s="11" t="s">
        <v>213</v>
      </c>
      <c r="E159" s="11" t="s">
        <v>502</v>
      </c>
      <c r="F159" s="54" t="s">
        <v>503</v>
      </c>
      <c r="G159" s="58" t="s">
        <v>518</v>
      </c>
      <c r="H159" s="55" t="s">
        <v>691</v>
      </c>
    </row>
    <row r="160" spans="1:8" x14ac:dyDescent="0.25">
      <c r="A160" s="79">
        <v>159</v>
      </c>
      <c r="B160" s="79" t="s">
        <v>88</v>
      </c>
      <c r="C160" s="11" t="s">
        <v>520</v>
      </c>
      <c r="D160" s="11" t="s">
        <v>301</v>
      </c>
      <c r="E160" s="11" t="s">
        <v>783</v>
      </c>
      <c r="F160" s="54" t="s">
        <v>732</v>
      </c>
      <c r="G160" s="58" t="s">
        <v>445</v>
      </c>
      <c r="H160" s="55" t="s">
        <v>471</v>
      </c>
    </row>
    <row r="161" spans="1:8" x14ac:dyDescent="0.25">
      <c r="A161" s="79">
        <v>160</v>
      </c>
      <c r="B161" s="79" t="s">
        <v>88</v>
      </c>
      <c r="C161" s="11" t="s">
        <v>524</v>
      </c>
      <c r="D161" s="11" t="s">
        <v>243</v>
      </c>
      <c r="E161" s="11" t="s">
        <v>590</v>
      </c>
      <c r="F161" s="54" t="s">
        <v>129</v>
      </c>
      <c r="G161" s="58" t="s">
        <v>678</v>
      </c>
      <c r="H161" s="55" t="s">
        <v>700</v>
      </c>
    </row>
    <row r="162" spans="1:8" x14ac:dyDescent="0.25">
      <c r="A162" s="79">
        <v>161</v>
      </c>
      <c r="B162" s="79" t="s">
        <v>88</v>
      </c>
      <c r="C162" s="11" t="s">
        <v>525</v>
      </c>
      <c r="D162" s="11" t="s">
        <v>213</v>
      </c>
      <c r="E162" s="11" t="s">
        <v>591</v>
      </c>
      <c r="F162" s="54" t="s">
        <v>123</v>
      </c>
      <c r="G162" s="58" t="s">
        <v>690</v>
      </c>
      <c r="H162" s="55" t="s">
        <v>691</v>
      </c>
    </row>
    <row r="163" spans="1:8" x14ac:dyDescent="0.25">
      <c r="A163" s="79">
        <v>162</v>
      </c>
      <c r="B163" s="79" t="s">
        <v>88</v>
      </c>
      <c r="C163" s="11" t="s">
        <v>526</v>
      </c>
      <c r="D163" s="11" t="s">
        <v>209</v>
      </c>
      <c r="E163" s="11" t="s">
        <v>592</v>
      </c>
      <c r="F163" s="54" t="s">
        <v>131</v>
      </c>
      <c r="G163" s="58" t="s">
        <v>694</v>
      </c>
      <c r="H163" s="55" t="s">
        <v>220</v>
      </c>
    </row>
    <row r="164" spans="1:8" x14ac:dyDescent="0.25">
      <c r="A164" s="79">
        <v>163</v>
      </c>
      <c r="B164" s="79" t="s">
        <v>88</v>
      </c>
      <c r="C164" s="11" t="s">
        <v>527</v>
      </c>
      <c r="D164" s="11" t="s">
        <v>243</v>
      </c>
      <c r="E164" s="11" t="s">
        <v>784</v>
      </c>
      <c r="F164" s="54" t="s">
        <v>593</v>
      </c>
      <c r="G164" s="58" t="s">
        <v>678</v>
      </c>
      <c r="H164" s="55" t="s">
        <v>700</v>
      </c>
    </row>
    <row r="165" spans="1:8" x14ac:dyDescent="0.25">
      <c r="A165" s="79">
        <v>164</v>
      </c>
      <c r="B165" s="79" t="s">
        <v>88</v>
      </c>
      <c r="C165" s="11" t="s">
        <v>528</v>
      </c>
      <c r="D165" s="11" t="s">
        <v>243</v>
      </c>
      <c r="E165" s="11" t="s">
        <v>594</v>
      </c>
      <c r="F165" s="54" t="s">
        <v>595</v>
      </c>
      <c r="G165" s="58" t="s">
        <v>725</v>
      </c>
      <c r="H165" s="55" t="s">
        <v>700</v>
      </c>
    </row>
    <row r="166" spans="1:8" x14ac:dyDescent="0.25">
      <c r="A166" s="79">
        <v>165</v>
      </c>
      <c r="B166" s="79" t="s">
        <v>88</v>
      </c>
      <c r="C166" s="11" t="s">
        <v>522</v>
      </c>
      <c r="D166" s="11" t="s">
        <v>301</v>
      </c>
      <c r="E166" s="11" t="s">
        <v>539</v>
      </c>
      <c r="F166" s="54" t="s">
        <v>596</v>
      </c>
      <c r="G166" s="58" t="s">
        <v>445</v>
      </c>
      <c r="H166" s="55" t="s">
        <v>471</v>
      </c>
    </row>
    <row r="167" spans="1:8" x14ac:dyDescent="0.25">
      <c r="A167" s="79">
        <v>166</v>
      </c>
      <c r="B167" s="79" t="s">
        <v>88</v>
      </c>
      <c r="C167" s="11" t="s">
        <v>529</v>
      </c>
      <c r="D167" s="11" t="s">
        <v>301</v>
      </c>
      <c r="E167" s="11" t="s">
        <v>785</v>
      </c>
      <c r="F167" s="54" t="s">
        <v>597</v>
      </c>
      <c r="G167" s="58" t="s">
        <v>704</v>
      </c>
      <c r="H167" s="55" t="s">
        <v>471</v>
      </c>
    </row>
    <row r="168" spans="1:8" x14ac:dyDescent="0.25">
      <c r="A168" s="79">
        <v>167</v>
      </c>
      <c r="B168" s="79" t="s">
        <v>88</v>
      </c>
      <c r="C168" s="11" t="s">
        <v>523</v>
      </c>
      <c r="D168" s="11" t="s">
        <v>209</v>
      </c>
      <c r="E168" s="11" t="s">
        <v>786</v>
      </c>
      <c r="F168" s="54" t="s">
        <v>598</v>
      </c>
      <c r="G168" s="58" t="s">
        <v>697</v>
      </c>
      <c r="H168" s="55" t="s">
        <v>220</v>
      </c>
    </row>
    <row r="169" spans="1:8" x14ac:dyDescent="0.25">
      <c r="A169" s="79">
        <v>168</v>
      </c>
      <c r="B169" s="79" t="s">
        <v>88</v>
      </c>
      <c r="C169" s="11" t="s">
        <v>532</v>
      </c>
      <c r="D169" s="11" t="s">
        <v>207</v>
      </c>
      <c r="E169" s="11" t="s">
        <v>787</v>
      </c>
      <c r="F169" s="54" t="s">
        <v>600</v>
      </c>
      <c r="G169" s="58" t="s">
        <v>726</v>
      </c>
      <c r="H169" s="55" t="s">
        <v>691</v>
      </c>
    </row>
    <row r="170" spans="1:8" x14ac:dyDescent="0.25">
      <c r="A170" s="79">
        <v>169</v>
      </c>
      <c r="B170" s="79" t="s">
        <v>88</v>
      </c>
      <c r="C170" s="11" t="s">
        <v>533</v>
      </c>
      <c r="D170" s="11" t="s">
        <v>213</v>
      </c>
      <c r="E170" s="11" t="s">
        <v>602</v>
      </c>
      <c r="F170" s="54" t="s">
        <v>603</v>
      </c>
      <c r="G170" s="58" t="s">
        <v>518</v>
      </c>
      <c r="H170" s="55" t="s">
        <v>691</v>
      </c>
    </row>
    <row r="171" spans="1:8" x14ac:dyDescent="0.25">
      <c r="A171" s="79">
        <v>170</v>
      </c>
      <c r="B171" s="79" t="s">
        <v>88</v>
      </c>
      <c r="C171" s="11" t="s">
        <v>535</v>
      </c>
      <c r="D171" s="11" t="s">
        <v>207</v>
      </c>
      <c r="E171" s="11" t="s">
        <v>605</v>
      </c>
      <c r="F171" s="54" t="s">
        <v>130</v>
      </c>
      <c r="G171" s="58" t="s">
        <v>727</v>
      </c>
      <c r="H171" s="55" t="s">
        <v>691</v>
      </c>
    </row>
    <row r="172" spans="1:8" x14ac:dyDescent="0.25">
      <c r="A172" s="79">
        <v>171</v>
      </c>
      <c r="B172" s="79" t="s">
        <v>88</v>
      </c>
      <c r="C172" s="11" t="s">
        <v>536</v>
      </c>
      <c r="D172" s="11" t="s">
        <v>437</v>
      </c>
      <c r="E172" s="11" t="s">
        <v>606</v>
      </c>
      <c r="F172" s="54" t="s">
        <v>607</v>
      </c>
      <c r="G172" s="58" t="s">
        <v>668</v>
      </c>
      <c r="H172" s="55" t="s">
        <v>471</v>
      </c>
    </row>
    <row r="173" spans="1:8" x14ac:dyDescent="0.25">
      <c r="A173" s="79">
        <v>172</v>
      </c>
      <c r="B173" s="79" t="s">
        <v>88</v>
      </c>
      <c r="C173" s="11" t="s">
        <v>545</v>
      </c>
      <c r="D173" s="11" t="s">
        <v>209</v>
      </c>
      <c r="E173" s="11" t="s">
        <v>541</v>
      </c>
      <c r="F173" s="54" t="s">
        <v>143</v>
      </c>
      <c r="G173" s="58" t="s">
        <v>694</v>
      </c>
      <c r="H173" s="55" t="s">
        <v>220</v>
      </c>
    </row>
    <row r="174" spans="1:8" x14ac:dyDescent="0.25">
      <c r="A174" s="79">
        <v>173</v>
      </c>
      <c r="B174" s="79" t="s">
        <v>88</v>
      </c>
      <c r="C174" s="11" t="s">
        <v>553</v>
      </c>
      <c r="D174" s="11" t="s">
        <v>301</v>
      </c>
      <c r="E174" s="11" t="s">
        <v>617</v>
      </c>
      <c r="F174" s="54" t="s">
        <v>127</v>
      </c>
      <c r="G174" s="58" t="s">
        <v>668</v>
      </c>
      <c r="H174" s="55" t="s">
        <v>471</v>
      </c>
    </row>
    <row r="175" spans="1:8" x14ac:dyDescent="0.25">
      <c r="A175" s="79">
        <v>174</v>
      </c>
      <c r="B175" s="79" t="s">
        <v>88</v>
      </c>
      <c r="C175" s="11" t="s">
        <v>551</v>
      </c>
      <c r="D175" s="11" t="s">
        <v>243</v>
      </c>
      <c r="E175" s="11" t="s">
        <v>620</v>
      </c>
      <c r="F175" s="54" t="s">
        <v>137</v>
      </c>
      <c r="G175" s="58" t="s">
        <v>669</v>
      </c>
      <c r="H175" s="55" t="s">
        <v>700</v>
      </c>
    </row>
    <row r="176" spans="1:8" x14ac:dyDescent="0.25">
      <c r="A176" s="79">
        <v>175</v>
      </c>
      <c r="B176" s="79" t="s">
        <v>88</v>
      </c>
      <c r="C176" s="11" t="s">
        <v>548</v>
      </c>
      <c r="D176" s="11" t="s">
        <v>213</v>
      </c>
      <c r="E176" s="11" t="s">
        <v>621</v>
      </c>
      <c r="F176" s="54" t="s">
        <v>138</v>
      </c>
      <c r="G176" s="58" t="s">
        <v>670</v>
      </c>
      <c r="H176" s="55" t="s">
        <v>691</v>
      </c>
    </row>
    <row r="177" spans="1:8" x14ac:dyDescent="0.25">
      <c r="A177" s="79">
        <v>176</v>
      </c>
      <c r="B177" s="79" t="s">
        <v>88</v>
      </c>
      <c r="C177" s="11" t="s">
        <v>562</v>
      </c>
      <c r="D177" s="11" t="s">
        <v>243</v>
      </c>
      <c r="E177" s="11" t="s">
        <v>628</v>
      </c>
      <c r="F177" s="54" t="s">
        <v>629</v>
      </c>
      <c r="G177" s="58" t="s">
        <v>672</v>
      </c>
      <c r="H177" s="55" t="s">
        <v>700</v>
      </c>
    </row>
    <row r="178" spans="1:8" x14ac:dyDescent="0.25">
      <c r="A178" s="79">
        <v>177</v>
      </c>
      <c r="B178" s="79" t="s">
        <v>88</v>
      </c>
      <c r="C178" s="11" t="s">
        <v>549</v>
      </c>
      <c r="D178" s="11" t="s">
        <v>243</v>
      </c>
      <c r="E178" s="11" t="s">
        <v>630</v>
      </c>
      <c r="F178" s="54" t="s">
        <v>631</v>
      </c>
      <c r="G178" s="58" t="s">
        <v>673</v>
      </c>
      <c r="H178" s="55" t="s">
        <v>700</v>
      </c>
    </row>
    <row r="179" spans="1:8" x14ac:dyDescent="0.25">
      <c r="A179" s="79">
        <v>178</v>
      </c>
      <c r="B179" s="79" t="s">
        <v>88</v>
      </c>
      <c r="C179" s="11" t="s">
        <v>555</v>
      </c>
      <c r="D179" s="11" t="s">
        <v>213</v>
      </c>
      <c r="E179" s="11" t="s">
        <v>788</v>
      </c>
      <c r="F179" s="54" t="s">
        <v>634</v>
      </c>
      <c r="G179" s="58" t="s">
        <v>518</v>
      </c>
      <c r="H179" s="55" t="s">
        <v>691</v>
      </c>
    </row>
    <row r="180" spans="1:8" x14ac:dyDescent="0.25">
      <c r="A180" s="79">
        <v>179</v>
      </c>
      <c r="B180" s="79" t="s">
        <v>88</v>
      </c>
      <c r="C180" s="11" t="s">
        <v>576</v>
      </c>
      <c r="D180" s="11" t="s">
        <v>680</v>
      </c>
      <c r="E180" s="11" t="s">
        <v>643</v>
      </c>
      <c r="F180" s="54" t="s">
        <v>644</v>
      </c>
      <c r="G180" s="58" t="s">
        <v>676</v>
      </c>
      <c r="H180" s="55" t="s">
        <v>691</v>
      </c>
    </row>
    <row r="181" spans="1:8" x14ac:dyDescent="0.25">
      <c r="A181" s="79">
        <v>180</v>
      </c>
      <c r="B181" s="79" t="s">
        <v>88</v>
      </c>
      <c r="C181" s="11" t="s">
        <v>577</v>
      </c>
      <c r="D181" s="11" t="s">
        <v>213</v>
      </c>
      <c r="E181" s="11" t="s">
        <v>645</v>
      </c>
      <c r="F181" s="54" t="s">
        <v>646</v>
      </c>
      <c r="G181" s="58" t="s">
        <v>720</v>
      </c>
      <c r="H181" s="55" t="s">
        <v>691</v>
      </c>
    </row>
    <row r="182" spans="1:8" x14ac:dyDescent="0.25">
      <c r="A182" s="79">
        <v>181</v>
      </c>
      <c r="B182" s="79" t="s">
        <v>88</v>
      </c>
      <c r="C182" s="11" t="s">
        <v>578</v>
      </c>
      <c r="D182" s="11" t="s">
        <v>243</v>
      </c>
      <c r="E182" s="11" t="s">
        <v>647</v>
      </c>
      <c r="F182" s="54" t="s">
        <v>648</v>
      </c>
      <c r="G182" s="58" t="s">
        <v>677</v>
      </c>
      <c r="H182" s="55" t="s">
        <v>700</v>
      </c>
    </row>
    <row r="183" spans="1:8" x14ac:dyDescent="0.25">
      <c r="A183" s="79">
        <v>182</v>
      </c>
      <c r="B183" s="79" t="s">
        <v>88</v>
      </c>
      <c r="C183" s="11" t="s">
        <v>581</v>
      </c>
      <c r="D183" s="11" t="s">
        <v>243</v>
      </c>
      <c r="E183" s="11" t="s">
        <v>649</v>
      </c>
      <c r="F183" s="54" t="s">
        <v>650</v>
      </c>
      <c r="G183" s="58" t="s">
        <v>678</v>
      </c>
      <c r="H183" s="55" t="s">
        <v>700</v>
      </c>
    </row>
    <row r="184" spans="1:8" x14ac:dyDescent="0.25">
      <c r="A184" s="79">
        <v>183</v>
      </c>
      <c r="B184" s="79" t="s">
        <v>88</v>
      </c>
      <c r="C184" s="11" t="s">
        <v>584</v>
      </c>
      <c r="D184" s="11" t="s">
        <v>243</v>
      </c>
      <c r="E184" s="11" t="s">
        <v>656</v>
      </c>
      <c r="F184" s="54" t="s">
        <v>657</v>
      </c>
      <c r="G184" s="58" t="s">
        <v>730</v>
      </c>
      <c r="H184" s="55" t="s">
        <v>700</v>
      </c>
    </row>
    <row r="185" spans="1:8" x14ac:dyDescent="0.25">
      <c r="A185" s="79">
        <v>184</v>
      </c>
      <c r="B185" s="79" t="s">
        <v>88</v>
      </c>
      <c r="C185" s="11" t="s">
        <v>585</v>
      </c>
      <c r="D185" s="11" t="s">
        <v>243</v>
      </c>
      <c r="E185" s="11" t="s">
        <v>658</v>
      </c>
      <c r="F185" s="54" t="s">
        <v>659</v>
      </c>
      <c r="G185" s="58" t="s">
        <v>731</v>
      </c>
      <c r="H185" s="55" t="s">
        <v>700</v>
      </c>
    </row>
    <row r="186" spans="1:8" x14ac:dyDescent="0.25">
      <c r="A186" s="79">
        <v>185</v>
      </c>
      <c r="B186" s="79" t="s">
        <v>88</v>
      </c>
      <c r="C186" s="11" t="s">
        <v>587</v>
      </c>
      <c r="D186" s="11" t="s">
        <v>213</v>
      </c>
      <c r="E186" s="11" t="s">
        <v>660</v>
      </c>
      <c r="F186" s="54" t="s">
        <v>661</v>
      </c>
      <c r="G186" s="58" t="s">
        <v>720</v>
      </c>
      <c r="H186" s="55" t="s">
        <v>691</v>
      </c>
    </row>
    <row r="187" spans="1:8" x14ac:dyDescent="0.25">
      <c r="A187" s="79">
        <v>186</v>
      </c>
      <c r="B187" s="79" t="s">
        <v>88</v>
      </c>
      <c r="C187" s="11" t="s">
        <v>586</v>
      </c>
      <c r="D187" s="11" t="s">
        <v>243</v>
      </c>
      <c r="E187" s="11" t="s">
        <v>662</v>
      </c>
      <c r="F187" s="54" t="s">
        <v>663</v>
      </c>
      <c r="G187" s="58" t="s">
        <v>709</v>
      </c>
      <c r="H187" s="55" t="s">
        <v>700</v>
      </c>
    </row>
    <row r="188" spans="1:8" x14ac:dyDescent="0.25">
      <c r="A188" s="79">
        <v>187</v>
      </c>
      <c r="B188" s="79" t="s">
        <v>90</v>
      </c>
      <c r="C188" s="11" t="s">
        <v>4</v>
      </c>
      <c r="D188" s="11" t="s">
        <v>4</v>
      </c>
      <c r="E188" s="11" t="s">
        <v>789</v>
      </c>
      <c r="F188" s="54" t="s">
        <v>110</v>
      </c>
      <c r="G188" s="58" t="s">
        <v>689</v>
      </c>
      <c r="H188" s="55" t="s">
        <v>470</v>
      </c>
    </row>
    <row r="189" spans="1:8" x14ac:dyDescent="0.25">
      <c r="A189" s="79">
        <v>188</v>
      </c>
      <c r="B189" s="79" t="s">
        <v>90</v>
      </c>
      <c r="C189" s="11" t="s">
        <v>100</v>
      </c>
      <c r="D189" s="11" t="s">
        <v>100</v>
      </c>
      <c r="E189" s="11" t="s">
        <v>790</v>
      </c>
      <c r="F189" s="54" t="s">
        <v>110</v>
      </c>
      <c r="G189" s="58" t="s">
        <v>689</v>
      </c>
      <c r="H189" s="55" t="s">
        <v>470</v>
      </c>
    </row>
    <row r="190" spans="1:8" x14ac:dyDescent="0.25">
      <c r="A190" s="79">
        <v>189</v>
      </c>
      <c r="B190" s="79" t="s">
        <v>90</v>
      </c>
      <c r="C190" s="11" t="s">
        <v>101</v>
      </c>
      <c r="D190" s="11" t="s">
        <v>101</v>
      </c>
      <c r="E190" s="11" t="s">
        <v>791</v>
      </c>
      <c r="F190" s="54" t="s">
        <v>110</v>
      </c>
      <c r="G190" s="58" t="s">
        <v>689</v>
      </c>
      <c r="H190" s="55" t="s">
        <v>470</v>
      </c>
    </row>
    <row r="191" spans="1:8" x14ac:dyDescent="0.25">
      <c r="A191" s="79">
        <v>190</v>
      </c>
      <c r="B191" s="79" t="s">
        <v>90</v>
      </c>
      <c r="C191" s="11" t="s">
        <v>102</v>
      </c>
      <c r="D191" s="11" t="s">
        <v>102</v>
      </c>
      <c r="E191" s="11" t="s">
        <v>792</v>
      </c>
      <c r="F191" s="54" t="s">
        <v>108</v>
      </c>
      <c r="G191" s="58" t="s">
        <v>448</v>
      </c>
      <c r="H191" s="55" t="s">
        <v>470</v>
      </c>
    </row>
    <row r="192" spans="1:8" x14ac:dyDescent="0.25">
      <c r="A192" s="79">
        <v>191</v>
      </c>
      <c r="B192" s="79" t="s">
        <v>90</v>
      </c>
      <c r="C192" s="11" t="s">
        <v>820</v>
      </c>
      <c r="D192" s="11" t="s">
        <v>103</v>
      </c>
      <c r="E192" s="11" t="s">
        <v>793</v>
      </c>
      <c r="F192" s="54" t="s">
        <v>111</v>
      </c>
      <c r="G192" s="58" t="s">
        <v>674</v>
      </c>
      <c r="H192" s="55" t="s">
        <v>470</v>
      </c>
    </row>
    <row r="193" spans="1:8" x14ac:dyDescent="0.25">
      <c r="A193" s="79">
        <v>192</v>
      </c>
      <c r="B193" s="79" t="s">
        <v>90</v>
      </c>
      <c r="C193" s="11" t="s">
        <v>821</v>
      </c>
      <c r="D193" s="11" t="s">
        <v>104</v>
      </c>
      <c r="E193" s="11" t="s">
        <v>794</v>
      </c>
      <c r="F193" s="54" t="s">
        <v>112</v>
      </c>
      <c r="G193" s="58" t="s">
        <v>450</v>
      </c>
      <c r="H193" s="55" t="s">
        <v>470</v>
      </c>
    </row>
    <row r="194" spans="1:8" x14ac:dyDescent="0.25">
      <c r="A194" s="79">
        <v>193</v>
      </c>
      <c r="B194" s="79" t="s">
        <v>90</v>
      </c>
      <c r="C194" s="11" t="s">
        <v>105</v>
      </c>
      <c r="D194" s="11" t="s">
        <v>105</v>
      </c>
      <c r="E194" s="11" t="s">
        <v>795</v>
      </c>
      <c r="F194" s="54" t="s">
        <v>111</v>
      </c>
      <c r="G194" s="58" t="s">
        <v>674</v>
      </c>
      <c r="H194" s="55" t="s">
        <v>470</v>
      </c>
    </row>
    <row r="195" spans="1:8" x14ac:dyDescent="0.25">
      <c r="A195" s="79">
        <v>194</v>
      </c>
      <c r="B195" s="79" t="s">
        <v>90</v>
      </c>
      <c r="C195" s="11" t="s">
        <v>106</v>
      </c>
      <c r="D195" s="11" t="s">
        <v>106</v>
      </c>
      <c r="E195" s="11" t="s">
        <v>109</v>
      </c>
      <c r="F195" s="54" t="s">
        <v>111</v>
      </c>
      <c r="G195" s="58" t="s">
        <v>674</v>
      </c>
      <c r="H195" s="55" t="s">
        <v>470</v>
      </c>
    </row>
    <row r="196" spans="1:8" x14ac:dyDescent="0.25">
      <c r="A196" s="79">
        <v>195</v>
      </c>
      <c r="B196" s="79" t="s">
        <v>90</v>
      </c>
      <c r="C196" s="11" t="s">
        <v>315</v>
      </c>
      <c r="D196" s="11" t="s">
        <v>103</v>
      </c>
      <c r="E196" s="11" t="s">
        <v>796</v>
      </c>
      <c r="F196" s="54" t="s">
        <v>141</v>
      </c>
      <c r="G196" s="58" t="s">
        <v>674</v>
      </c>
      <c r="H196" s="55" t="s">
        <v>470</v>
      </c>
    </row>
    <row r="197" spans="1:8" x14ac:dyDescent="0.25">
      <c r="A197" s="79">
        <v>196</v>
      </c>
      <c r="B197" s="79" t="s">
        <v>90</v>
      </c>
      <c r="C197" s="11" t="s">
        <v>310</v>
      </c>
      <c r="D197" s="11" t="s">
        <v>310</v>
      </c>
      <c r="E197" s="11" t="s">
        <v>311</v>
      </c>
      <c r="F197" s="54" t="s">
        <v>110</v>
      </c>
      <c r="G197" s="58" t="s">
        <v>689</v>
      </c>
      <c r="H197" s="55" t="s">
        <v>470</v>
      </c>
    </row>
    <row r="198" spans="1:8" x14ac:dyDescent="0.25">
      <c r="A198" s="79">
        <v>197</v>
      </c>
      <c r="B198" s="79" t="s">
        <v>90</v>
      </c>
      <c r="C198" s="11" t="s">
        <v>162</v>
      </c>
      <c r="D198" s="11" t="s">
        <v>103</v>
      </c>
      <c r="E198" s="11" t="s">
        <v>160</v>
      </c>
      <c r="F198" s="54" t="s">
        <v>161</v>
      </c>
      <c r="G198" s="58" t="s">
        <v>674</v>
      </c>
      <c r="H198" s="55" t="s">
        <v>470</v>
      </c>
    </row>
    <row r="199" spans="1:8" x14ac:dyDescent="0.25">
      <c r="A199" s="79">
        <v>198</v>
      </c>
      <c r="B199" s="79" t="s">
        <v>90</v>
      </c>
      <c r="C199" s="11" t="s">
        <v>235</v>
      </c>
      <c r="D199" s="11" t="s">
        <v>472</v>
      </c>
      <c r="E199" s="11" t="s">
        <v>233</v>
      </c>
      <c r="F199" s="54" t="s">
        <v>234</v>
      </c>
      <c r="G199" s="58" t="s">
        <v>689</v>
      </c>
      <c r="H199" s="55" t="s">
        <v>470</v>
      </c>
    </row>
    <row r="200" spans="1:8" x14ac:dyDescent="0.25">
      <c r="A200" s="79">
        <v>199</v>
      </c>
      <c r="B200" s="79" t="s">
        <v>90</v>
      </c>
      <c r="C200" s="11" t="s">
        <v>242</v>
      </c>
      <c r="D200" s="11" t="s">
        <v>104</v>
      </c>
      <c r="E200" s="11" t="s">
        <v>236</v>
      </c>
      <c r="F200" s="54" t="s">
        <v>237</v>
      </c>
      <c r="G200" s="58" t="s">
        <v>450</v>
      </c>
      <c r="H200" s="55" t="s">
        <v>470</v>
      </c>
    </row>
    <row r="201" spans="1:8" x14ac:dyDescent="0.25">
      <c r="A201" s="79">
        <v>200</v>
      </c>
      <c r="B201" s="79" t="s">
        <v>90</v>
      </c>
      <c r="C201" s="11" t="s">
        <v>284</v>
      </c>
      <c r="D201" s="11" t="s">
        <v>103</v>
      </c>
      <c r="E201" s="11" t="s">
        <v>263</v>
      </c>
      <c r="F201" s="54" t="s">
        <v>264</v>
      </c>
      <c r="G201" s="58" t="s">
        <v>674</v>
      </c>
      <c r="H201" s="55" t="s">
        <v>470</v>
      </c>
    </row>
    <row r="202" spans="1:8" x14ac:dyDescent="0.25">
      <c r="A202" s="79">
        <v>201</v>
      </c>
      <c r="B202" s="79" t="s">
        <v>90</v>
      </c>
      <c r="C202" s="11" t="s">
        <v>411</v>
      </c>
      <c r="D202" s="11" t="s">
        <v>103</v>
      </c>
      <c r="E202" s="11" t="s">
        <v>797</v>
      </c>
      <c r="F202" s="54" t="s">
        <v>323</v>
      </c>
      <c r="G202" s="58" t="s">
        <v>674</v>
      </c>
      <c r="H202" s="55" t="s">
        <v>470</v>
      </c>
    </row>
    <row r="203" spans="1:8" x14ac:dyDescent="0.25">
      <c r="A203" s="79">
        <v>202</v>
      </c>
      <c r="B203" s="79" t="s">
        <v>90</v>
      </c>
      <c r="C203" s="11" t="s">
        <v>403</v>
      </c>
      <c r="D203" s="11" t="s">
        <v>104</v>
      </c>
      <c r="E203" s="11" t="s">
        <v>332</v>
      </c>
      <c r="F203" s="54" t="s">
        <v>331</v>
      </c>
      <c r="G203" s="58" t="s">
        <v>450</v>
      </c>
      <c r="H203" s="55" t="s">
        <v>470</v>
      </c>
    </row>
    <row r="204" spans="1:8" x14ac:dyDescent="0.25">
      <c r="A204" s="79">
        <v>203</v>
      </c>
      <c r="B204" s="79" t="s">
        <v>90</v>
      </c>
      <c r="C204" s="11" t="s">
        <v>422</v>
      </c>
      <c r="D204" s="11" t="s">
        <v>422</v>
      </c>
      <c r="E204" s="11" t="s">
        <v>798</v>
      </c>
      <c r="F204" s="54" t="s">
        <v>333</v>
      </c>
      <c r="G204" s="58" t="s">
        <v>713</v>
      </c>
      <c r="H204" s="55" t="s">
        <v>470</v>
      </c>
    </row>
    <row r="205" spans="1:8" x14ac:dyDescent="0.25">
      <c r="A205" s="79">
        <v>204</v>
      </c>
      <c r="B205" s="79" t="s">
        <v>90</v>
      </c>
      <c r="C205" s="11" t="s">
        <v>414</v>
      </c>
      <c r="D205" s="11" t="s">
        <v>104</v>
      </c>
      <c r="E205" s="11" t="s">
        <v>355</v>
      </c>
      <c r="F205" s="54" t="s">
        <v>356</v>
      </c>
      <c r="G205" s="58" t="s">
        <v>450</v>
      </c>
      <c r="H205" s="55" t="s">
        <v>470</v>
      </c>
    </row>
    <row r="206" spans="1:8" x14ac:dyDescent="0.25">
      <c r="A206" s="79">
        <v>205</v>
      </c>
      <c r="B206" s="79" t="s">
        <v>90</v>
      </c>
      <c r="C206" s="11" t="s">
        <v>463</v>
      </c>
      <c r="D206" s="11" t="s">
        <v>472</v>
      </c>
      <c r="E206" s="11" t="s">
        <v>389</v>
      </c>
      <c r="F206" s="54" t="s">
        <v>390</v>
      </c>
      <c r="G206" s="58" t="s">
        <v>448</v>
      </c>
      <c r="H206" s="55" t="s">
        <v>470</v>
      </c>
    </row>
    <row r="207" spans="1:8" x14ac:dyDescent="0.25">
      <c r="A207" s="79">
        <v>206</v>
      </c>
      <c r="B207" s="79" t="s">
        <v>90</v>
      </c>
      <c r="C207" s="11" t="s">
        <v>556</v>
      </c>
      <c r="D207" s="11" t="s">
        <v>472</v>
      </c>
      <c r="E207" s="11" t="s">
        <v>565</v>
      </c>
      <c r="F207" s="54" t="s">
        <v>636</v>
      </c>
      <c r="G207" s="58" t="s">
        <v>689</v>
      </c>
      <c r="H207" s="55" t="s">
        <v>470</v>
      </c>
    </row>
    <row r="208" spans="1:8" x14ac:dyDescent="0.25">
      <c r="A208" s="79">
        <v>207</v>
      </c>
      <c r="B208" s="79" t="s">
        <v>90</v>
      </c>
      <c r="C208" s="11" t="s">
        <v>571</v>
      </c>
      <c r="D208" s="11" t="s">
        <v>103</v>
      </c>
      <c r="E208" s="11" t="s">
        <v>566</v>
      </c>
      <c r="F208" s="54" t="s">
        <v>638</v>
      </c>
      <c r="G208" s="58" t="s">
        <v>674</v>
      </c>
      <c r="H208" s="55" t="s">
        <v>470</v>
      </c>
    </row>
    <row r="209" spans="1:8" x14ac:dyDescent="0.25">
      <c r="A209" s="79">
        <v>208</v>
      </c>
      <c r="B209" s="79" t="s">
        <v>88</v>
      </c>
      <c r="C209" s="11" t="s">
        <v>868</v>
      </c>
      <c r="D209" s="11" t="s">
        <v>512</v>
      </c>
      <c r="E209" s="11" t="s">
        <v>869</v>
      </c>
      <c r="F209" s="54" t="s">
        <v>870</v>
      </c>
      <c r="G209" s="58" t="s">
        <v>512</v>
      </c>
      <c r="H209" s="55" t="s">
        <v>700</v>
      </c>
    </row>
    <row r="210" spans="1:8" x14ac:dyDescent="0.25">
      <c r="A210" s="79">
        <v>209</v>
      </c>
      <c r="B210" s="79" t="s">
        <v>842</v>
      </c>
      <c r="C210" s="11" t="s">
        <v>4</v>
      </c>
      <c r="D210" s="11" t="s">
        <v>4</v>
      </c>
      <c r="E210" s="11" t="s">
        <v>789</v>
      </c>
      <c r="F210" s="54" t="s">
        <v>110</v>
      </c>
      <c r="G210" s="58" t="s">
        <v>689</v>
      </c>
      <c r="H210" s="55" t="s">
        <v>470</v>
      </c>
    </row>
    <row r="211" spans="1:8" x14ac:dyDescent="0.25">
      <c r="A211" s="79">
        <v>210</v>
      </c>
      <c r="B211" s="79" t="s">
        <v>842</v>
      </c>
      <c r="C211" s="11" t="s">
        <v>100</v>
      </c>
      <c r="D211" s="11" t="s">
        <v>100</v>
      </c>
      <c r="E211" s="11" t="s">
        <v>790</v>
      </c>
      <c r="F211" s="54" t="s">
        <v>110</v>
      </c>
      <c r="G211" s="58" t="s">
        <v>689</v>
      </c>
      <c r="H211" s="55" t="s">
        <v>470</v>
      </c>
    </row>
    <row r="212" spans="1:8" x14ac:dyDescent="0.25">
      <c r="A212" s="79">
        <v>211</v>
      </c>
      <c r="B212" s="79" t="s">
        <v>842</v>
      </c>
      <c r="C212" s="11" t="s">
        <v>101</v>
      </c>
      <c r="D212" s="11" t="s">
        <v>101</v>
      </c>
      <c r="E212" s="11" t="s">
        <v>791</v>
      </c>
      <c r="F212" s="54" t="s">
        <v>110</v>
      </c>
      <c r="G212" s="58" t="s">
        <v>689</v>
      </c>
      <c r="H212" s="55" t="s">
        <v>470</v>
      </c>
    </row>
    <row r="213" spans="1:8" x14ac:dyDescent="0.25">
      <c r="A213" s="79">
        <v>212</v>
      </c>
      <c r="B213" s="79" t="s">
        <v>842</v>
      </c>
      <c r="C213" s="11" t="s">
        <v>105</v>
      </c>
      <c r="D213" s="11" t="s">
        <v>105</v>
      </c>
      <c r="E213" s="11" t="s">
        <v>795</v>
      </c>
      <c r="F213" s="54" t="s">
        <v>111</v>
      </c>
      <c r="G213" s="58" t="s">
        <v>674</v>
      </c>
      <c r="H213" s="55" t="s">
        <v>470</v>
      </c>
    </row>
    <row r="214" spans="1:8" x14ac:dyDescent="0.25">
      <c r="A214" s="79">
        <v>213</v>
      </c>
      <c r="B214" s="79" t="s">
        <v>842</v>
      </c>
      <c r="C214" s="11" t="s">
        <v>106</v>
      </c>
      <c r="D214" s="11" t="s">
        <v>106</v>
      </c>
      <c r="E214" s="11" t="s">
        <v>109</v>
      </c>
      <c r="F214" s="54" t="s">
        <v>111</v>
      </c>
      <c r="G214" s="58" t="s">
        <v>674</v>
      </c>
      <c r="H214" s="55" t="s">
        <v>470</v>
      </c>
    </row>
    <row r="215" spans="1:8" x14ac:dyDescent="0.25">
      <c r="A215" s="79">
        <v>214</v>
      </c>
      <c r="B215" s="79" t="s">
        <v>842</v>
      </c>
      <c r="C215" s="11" t="s">
        <v>310</v>
      </c>
      <c r="D215" s="11" t="s">
        <v>310</v>
      </c>
      <c r="E215" s="11" t="s">
        <v>311</v>
      </c>
      <c r="F215" s="54" t="s">
        <v>110</v>
      </c>
      <c r="G215" s="58" t="s">
        <v>689</v>
      </c>
      <c r="H215" s="55" t="s">
        <v>470</v>
      </c>
    </row>
    <row r="216" spans="1:8" x14ac:dyDescent="0.25">
      <c r="A216" s="79">
        <v>215</v>
      </c>
      <c r="B216" s="79" t="s">
        <v>842</v>
      </c>
      <c r="C216" s="11" t="s">
        <v>95</v>
      </c>
      <c r="D216" s="11" t="s">
        <v>95</v>
      </c>
      <c r="E216" s="11" t="s">
        <v>735</v>
      </c>
      <c r="F216" s="54" t="s">
        <v>685</v>
      </c>
      <c r="G216" s="58" t="s">
        <v>466</v>
      </c>
      <c r="H216" s="55" t="s">
        <v>221</v>
      </c>
    </row>
    <row r="217" spans="1:8" x14ac:dyDescent="0.25">
      <c r="A217" s="79">
        <v>216</v>
      </c>
      <c r="B217" s="79" t="s">
        <v>842</v>
      </c>
      <c r="C217" s="11" t="s">
        <v>6</v>
      </c>
      <c r="D217" s="11" t="s">
        <v>6</v>
      </c>
      <c r="E217" s="11" t="s">
        <v>204</v>
      </c>
      <c r="F217" s="54" t="s">
        <v>685</v>
      </c>
      <c r="G217" s="58" t="s">
        <v>466</v>
      </c>
      <c r="H217" s="55" t="s">
        <v>221</v>
      </c>
    </row>
  </sheetData>
  <autoFilter ref="A1:H209">
    <sortState ref="A2:H208">
      <sortCondition ref="B1:B208"/>
    </sortState>
  </autoFilter>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Views>
    <sheetView workbookViewId="0">
      <selection activeCell="B10" sqref="B10"/>
    </sheetView>
  </sheetViews>
  <sheetFormatPr defaultRowHeight="15" x14ac:dyDescent="0.25"/>
  <cols>
    <col min="2" max="2" width="22.5703125" customWidth="1"/>
    <col min="3" max="3" width="95" customWidth="1"/>
  </cols>
  <sheetData>
    <row r="1" spans="1:3" ht="24.75" customHeight="1" x14ac:dyDescent="0.25">
      <c r="A1" s="107" t="s">
        <v>84</v>
      </c>
      <c r="B1" s="107" t="s">
        <v>866</v>
      </c>
      <c r="C1" s="107" t="s">
        <v>867</v>
      </c>
    </row>
    <row r="2" spans="1:3" x14ac:dyDescent="0.25">
      <c r="A2" s="8">
        <v>1</v>
      </c>
      <c r="B2" s="106" t="s">
        <v>850</v>
      </c>
      <c r="C2" s="11" t="s">
        <v>849</v>
      </c>
    </row>
    <row r="3" spans="1:3" x14ac:dyDescent="0.25">
      <c r="A3" s="8">
        <v>2</v>
      </c>
      <c r="B3" s="104" t="s">
        <v>6</v>
      </c>
      <c r="C3" s="11" t="s">
        <v>204</v>
      </c>
    </row>
    <row r="4" spans="1:3" x14ac:dyDescent="0.25">
      <c r="A4" s="8">
        <v>3</v>
      </c>
      <c r="B4" s="105" t="s">
        <v>97</v>
      </c>
      <c r="C4" s="11" t="s">
        <v>851</v>
      </c>
    </row>
    <row r="5" spans="1:3" x14ac:dyDescent="0.25">
      <c r="A5" s="8">
        <v>4</v>
      </c>
      <c r="B5" s="105" t="s">
        <v>4</v>
      </c>
      <c r="C5" s="11" t="s">
        <v>852</v>
      </c>
    </row>
    <row r="6" spans="1:3" x14ac:dyDescent="0.25">
      <c r="A6" s="8">
        <v>5</v>
      </c>
      <c r="B6" s="105" t="s">
        <v>98</v>
      </c>
      <c r="C6" s="11" t="s">
        <v>853</v>
      </c>
    </row>
    <row r="7" spans="1:3" x14ac:dyDescent="0.25">
      <c r="A7" s="8">
        <v>6</v>
      </c>
      <c r="B7" s="105" t="s">
        <v>871</v>
      </c>
      <c r="C7" s="11" t="s">
        <v>853</v>
      </c>
    </row>
    <row r="8" spans="1:3" x14ac:dyDescent="0.25">
      <c r="A8" s="8">
        <v>7</v>
      </c>
      <c r="B8" s="105" t="s">
        <v>872</v>
      </c>
      <c r="C8" s="11" t="s">
        <v>853</v>
      </c>
    </row>
    <row r="9" spans="1:3" x14ac:dyDescent="0.25">
      <c r="A9" s="8">
        <v>8</v>
      </c>
      <c r="B9" s="105" t="s">
        <v>99</v>
      </c>
      <c r="C9" s="11" t="s">
        <v>854</v>
      </c>
    </row>
    <row r="10" spans="1:3" x14ac:dyDescent="0.25">
      <c r="A10" s="8">
        <v>9</v>
      </c>
      <c r="B10" s="105" t="s">
        <v>843</v>
      </c>
      <c r="C10" s="11" t="s">
        <v>855</v>
      </c>
    </row>
    <row r="11" spans="1:3" x14ac:dyDescent="0.25">
      <c r="A11" s="8">
        <v>10</v>
      </c>
      <c r="B11" s="105" t="s">
        <v>844</v>
      </c>
      <c r="C11" s="11" t="s">
        <v>856</v>
      </c>
    </row>
    <row r="12" spans="1:3" x14ac:dyDescent="0.25">
      <c r="A12" s="8">
        <v>11</v>
      </c>
      <c r="B12" s="105" t="s">
        <v>859</v>
      </c>
      <c r="C12" s="11" t="s">
        <v>858</v>
      </c>
    </row>
    <row r="13" spans="1:3" x14ac:dyDescent="0.25">
      <c r="A13" s="8">
        <v>12</v>
      </c>
      <c r="B13" s="105" t="s">
        <v>860</v>
      </c>
      <c r="C13" s="11" t="s">
        <v>857</v>
      </c>
    </row>
    <row r="14" spans="1:3" x14ac:dyDescent="0.25">
      <c r="A14" s="8">
        <v>13</v>
      </c>
      <c r="B14" s="105" t="s">
        <v>845</v>
      </c>
      <c r="C14" s="11" t="s">
        <v>861</v>
      </c>
    </row>
    <row r="15" spans="1:3" x14ac:dyDescent="0.25">
      <c r="A15" s="8">
        <v>14</v>
      </c>
      <c r="B15" s="105" t="s">
        <v>848</v>
      </c>
      <c r="C15" s="11" t="s">
        <v>862</v>
      </c>
    </row>
    <row r="16" spans="1:3" x14ac:dyDescent="0.25">
      <c r="A16" s="8">
        <v>15</v>
      </c>
      <c r="B16" s="105" t="s">
        <v>846</v>
      </c>
      <c r="C16" s="11" t="s">
        <v>863</v>
      </c>
    </row>
    <row r="17" spans="1:3" x14ac:dyDescent="0.25">
      <c r="A17" s="8">
        <v>16</v>
      </c>
      <c r="B17" s="105" t="s">
        <v>847</v>
      </c>
      <c r="C17" s="11" t="s">
        <v>864</v>
      </c>
    </row>
  </sheetData>
  <autoFilter ref="B1:C1">
    <sortState ref="B2:C15">
      <sortCondition ref="B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nháp</vt:lpstr>
      <vt:lpstr>Bảng tổng hợp chuyến phục vụ</vt:lpstr>
      <vt:lpstr>Bảng dữ liệu hàng ngoài</vt:lpstr>
      <vt:lpstr>DATA location HHHK</vt:lpstr>
      <vt:lpstr>Data locationHàng ngoài</vt:lpstr>
      <vt:lpstr>Khách hàng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Khuong Hoang</dc:creator>
  <cp:lastModifiedBy>tranthitot92@gmail.com</cp:lastModifiedBy>
  <dcterms:created xsi:type="dcterms:W3CDTF">2026-04-15T08:19:44Z</dcterms:created>
  <dcterms:modified xsi:type="dcterms:W3CDTF">2026-08-25T07:48:59Z</dcterms:modified>
</cp:coreProperties>
</file>